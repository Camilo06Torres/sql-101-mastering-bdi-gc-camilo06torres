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CEA2F5D-2A3C-44C1-8EF8-53CF9551E7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DATOS " sheetId="2" r:id="rId1"/>
    <sheet name="PATIENTS" sheetId="3" r:id="rId2"/>
    <sheet name="DOCTORS" sheetId="4" r:id="rId3"/>
    <sheet name="APPOINTMENTS" sheetId="6" r:id="rId4"/>
    <sheet name="MEDICAL_RECORDS" sheetId="7" r:id="rId5"/>
    <sheet name="MEDICATIONS" sheetId="8" r:id="rId6"/>
    <sheet name="USERS" sheetId="9" r:id="rId7"/>
    <sheet name="ROLES" sheetId="10" r:id="rId8"/>
    <sheet name="USER_ROLES" sheetId="11" r:id="rId9"/>
    <sheet name="DEPARTMENTS" sheetId="12" r:id="rId10"/>
    <sheet name="SPECIALTIES" sheetId="13" r:id="rId11"/>
    <sheet name="ROOMS" sheetId="14" r:id="rId12"/>
    <sheet name="ROOM_TYPES" sheetId="29" r:id="rId13"/>
    <sheet name="ROOM_ASSIGNMENTS" sheetId="30" r:id="rId14"/>
    <sheet name="PRESCRIPTIONS" sheetId="31" r:id="rId15"/>
    <sheet name="MEDICAL_RECORD_DETAILS" sheetId="32" r:id="rId16"/>
    <sheet name="PERMISSIONS" sheetId="33" r:id="rId17"/>
    <sheet name="STATUS_CODES" sheetId="34" r:id="rId18"/>
    <sheet name="BILLING" sheetId="35" r:id="rId19"/>
    <sheet name="PAYMENTS" sheetId="36" r:id="rId20"/>
    <sheet name="INSURANCES" sheetId="37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1" i="2" l="1"/>
  <c r="F57" i="2"/>
  <c r="F53" i="2"/>
  <c r="F49" i="2"/>
  <c r="F45" i="2"/>
  <c r="F41" i="2"/>
  <c r="F37" i="2"/>
  <c r="F33" i="2"/>
  <c r="F29" i="2"/>
  <c r="F28" i="2"/>
  <c r="F27" i="2"/>
  <c r="F26" i="2"/>
  <c r="F25" i="2"/>
  <c r="F24" i="2"/>
  <c r="F23" i="2"/>
  <c r="F22" i="2"/>
  <c r="F21" i="2"/>
  <c r="F20" i="2"/>
  <c r="F19" i="2"/>
  <c r="F18" i="2"/>
</calcChain>
</file>

<file path=xl/sharedStrings.xml><?xml version="1.0" encoding="utf-8"?>
<sst xmlns="http://schemas.openxmlformats.org/spreadsheetml/2006/main" count="902" uniqueCount="355">
  <si>
    <t>document_type_id</t>
  </si>
  <si>
    <t>patient_id</t>
  </si>
  <si>
    <t>doctor_id</t>
  </si>
  <si>
    <t>Descripción</t>
  </si>
  <si>
    <t>Propósito</t>
  </si>
  <si>
    <t>Fecha de Creación</t>
  </si>
  <si>
    <t>Creado por</t>
  </si>
  <si>
    <t>Última Actualización</t>
  </si>
  <si>
    <t>Versión</t>
  </si>
  <si>
    <t>1.0</t>
  </si>
  <si>
    <t>Estructura de la Base de Datos</t>
  </si>
  <si>
    <t>Tablas Principales</t>
  </si>
  <si>
    <t>Tablas de Referencia</t>
  </si>
  <si>
    <t xml:space="preserve">Relaciones	</t>
  </si>
  <si>
    <t>Esquema</t>
  </si>
  <si>
    <t>Base de Datos</t>
  </si>
  <si>
    <t>Usuario</t>
  </si>
  <si>
    <t>Data Mapping - Catalogo</t>
  </si>
  <si>
    <t>Tabla</t>
  </si>
  <si>
    <t>Descripcion</t>
  </si>
  <si>
    <t>Hipervinculo</t>
  </si>
  <si>
    <t>USERS</t>
  </si>
  <si>
    <t>ROLES</t>
  </si>
  <si>
    <t>USER_ROLES</t>
  </si>
  <si>
    <t>Smart Health Hospital Management System 🏥💻</t>
  </si>
  <si>
    <t>Catálogo de Datos - Información General</t>
  </si>
  <si>
    <t>Este catálogo documenta la estructura de la base de datos relacional del sistema Smart Health, un sistema de gestión hospitalaria diseñado para optimizar los procesos clínicos, administrativos y operativos de una institución médica. Incluye entidades como pacientes, doctores, citas, historial clínico, medicamentos, departamentos y usuarios del sistema. El modelo se encuentra normalizado hasta la 4FN (Cuarta Forma Normal), garantizando integridad, coherencia y eficiencia en el almacenamiento de los datos.</t>
  </si>
  <si>
    <t>Facilitar la administración integral de los datos hospitalarios, permitiendo el registro, actualización y consulta eficiente de la información médica y administrativa. El sistema busca mejorar la trazabilidad de los procesos clínicos, la seguridad de la información y la calidad del servicio asistencial</t>
  </si>
  <si>
    <t>Representan las entidades centrales del sistema: PATIENTS, DOCTORS, APPOINTMENTS, MEDICAL_RECORDS, MEDICATIONS, USERS.
Cada una incluye claves primarias únicas para garantizar la integridad de los datos y la trazabilidad de los procesos clínicos.</t>
  </si>
  <si>
    <t>Incluyen tablas auxiliares como DEPARTMENTS, SPECIALTIES, ROLES, PERMISSIONS, ROOM_TYPES, STATUS_CODES, las cuales proveen contexto adicional, reducen redundancia y fortalecen la coherencia del sistema.</t>
  </si>
  <si>
    <t>Las claves foráneas definen la relación entre entidades clínicas y administrativas, como PATIENT_APPOINTMENTS, DOCTOR_SPECIALTIES, MEDICAL_RECORD_DETAILS, USER_ROLES, ROOM_ASSIGNMENTS, asegurando la integridad referencial del modelo.</t>
  </si>
  <si>
    <t>El esquema que almacena la lógica del sistema se llama smart_health, el cual organiza las entidades en módulos clínicos, administrativos y operativos.</t>
  </si>
  <si>
    <t>La base de datos se llama smart_health_db, disponible en PostgreSQL, codificada en UTF8 y con configuración local es_CO.UTF-8. Es propiedad del usuario sm_admin.</t>
  </si>
  <si>
    <t>El usuario principal de la base de datos se denomina sm_admin, con privilegios de administrador y acceso a todas las funciones del sistema Smart Health.</t>
  </si>
  <si>
    <t>PATIENTS</t>
  </si>
  <si>
    <t>Contiene la información básica de los pacientes registrados, incluyendo nombre, documento, fecha de nacimiento, sexo, dirección, teléfono y número de historia clínica.</t>
  </si>
  <si>
    <t>DOCTORS</t>
  </si>
  <si>
    <t>Registra los datos de los médicos, tales como nombre, especialidad, número de licencia y contacto.</t>
  </si>
  <si>
    <t>APPOINTMENTS</t>
  </si>
  <si>
    <t>Almacena las citas médicas programadas, incluyendo fecha, hora, paciente, médico, motivo y estado.</t>
  </si>
  <si>
    <t>MEDICAL_RECORDS</t>
  </si>
  <si>
    <t>Contiene los historiales clínicos de los pacientes, con diagnósticos, tratamientos, evolución y observaciones médicas.</t>
  </si>
  <si>
    <t>MEDICATIONS</t>
  </si>
  <si>
    <t>Registra los medicamentos prescritos y disponibles, con nombre comercial, dosis, presentación y proveedor.</t>
  </si>
  <si>
    <t>Contiene los usuarios del sistema (administradores, doctores, enfermeros, recepcionistas) con sus credenciales y roles.</t>
  </si>
  <si>
    <t>Define los distintos roles que pueden asignarse a los usuarios (por ejemplo, médico, enfermero, administrador, farmacéutico).</t>
  </si>
  <si>
    <t>Relaciona usuarios con sus respectivos roles dentro del sistema.</t>
  </si>
  <si>
    <t>DEPARTMENTS</t>
  </si>
  <si>
    <t>Lista los departamentos del hospital (Urgencias, Cardiología, Pediatría, Farmacia, etc.).</t>
  </si>
  <si>
    <t>SPECIALTIES</t>
  </si>
  <si>
    <t>Define las especialidades médicas disponibles (Cardiología, Neurología, Ginecología, etc.).</t>
  </si>
  <si>
    <t>ROOMS</t>
  </si>
  <si>
    <t>Registra las habitaciones hospitalarias con su tipo, capacidad y disponibilidad.</t>
  </si>
  <si>
    <t>ROOM_TYPES</t>
  </si>
  <si>
    <t>Clasifica los tipos de habitación (individual, compartida, UCI, quirófano).</t>
  </si>
  <si>
    <t>ROOM_ASSIGNMENTS</t>
  </si>
  <si>
    <t>Relaciona pacientes con las habitaciones asignadas, incluyendo fechas de ingreso y alta.</t>
  </si>
  <si>
    <t>PRESCRIPTIONS</t>
  </si>
  <si>
    <t>Almacena las prescripciones médicas generadas durante las consultas.</t>
  </si>
  <si>
    <t>MEDICAL_RECORD_DETAILS</t>
  </si>
  <si>
    <t>Contiene detalles específicos de los registros clínicos, como procedimientos, resultados de laboratorio y observaciones.</t>
  </si>
  <si>
    <t>PERMISSIONS</t>
  </si>
  <si>
    <t>Define los permisos asociados a cada rol del sistema.</t>
  </si>
  <si>
    <t>STATUS_CODES</t>
  </si>
  <si>
    <t>Contiene los estados posibles de entidades (activo, inactivo, pendiente, cancelado).</t>
  </si>
  <si>
    <t>BILLING</t>
  </si>
  <si>
    <t>Registra la facturación de los servicios médicos, medicamentos y procedimientos realizados.</t>
  </si>
  <si>
    <t>PAYMENTS</t>
  </si>
  <si>
    <t>Registra los pagos efectuados por los pacientes o aseguradoras.</t>
  </si>
  <si>
    <t>INSURANCES</t>
  </si>
  <si>
    <t>Contiene la información de las aseguradoras médicas y sus planes de cobertura.</t>
  </si>
  <si>
    <t>Campo</t>
  </si>
  <si>
    <t>Tipo de Dato</t>
  </si>
  <si>
    <t>Tamaño</t>
  </si>
  <si>
    <t>Restricción</t>
  </si>
  <si>
    <t>id_patient</t>
  </si>
  <si>
    <t>INT</t>
  </si>
  <si>
    <t>-</t>
  </si>
  <si>
    <t>PK</t>
  </si>
  <si>
    <t>Identificador único del paciente</t>
  </si>
  <si>
    <t>first_name</t>
  </si>
  <si>
    <t>VARCHAR</t>
  </si>
  <si>
    <t>NOT NULL</t>
  </si>
  <si>
    <t>Nombre del paciente</t>
  </si>
  <si>
    <t>last_name</t>
  </si>
  <si>
    <t>Apellido del paciente</t>
  </si>
  <si>
    <t>birth_date</t>
  </si>
  <si>
    <t>DATE</t>
  </si>
  <si>
    <t>Fecha de nacimiento</t>
  </si>
  <si>
    <t>gender</t>
  </si>
  <si>
    <t>CHAR</t>
  </si>
  <si>
    <t>CHECK (‘M’,‘F’)</t>
  </si>
  <si>
    <t>Sexo biológico del paciente</t>
  </si>
  <si>
    <t>FK</t>
  </si>
  <si>
    <t>Tipo de documento del paciente</t>
  </si>
  <si>
    <t>document_number</t>
  </si>
  <si>
    <t>UNIQUE</t>
  </si>
  <si>
    <t>Número de documento de identidad</t>
  </si>
  <si>
    <t>department_id</t>
  </si>
  <si>
    <t>Departamento de residencia</t>
  </si>
  <si>
    <t>municipality_id</t>
  </si>
  <si>
    <t>Municipio de residencia</t>
  </si>
  <si>
    <t>registration_date</t>
  </si>
  <si>
    <t>DEFAULT CURRENT_DATE</t>
  </si>
  <si>
    <t>Fecha de registro en el sistema</t>
  </si>
  <si>
    <t>id_doctor</t>
  </si>
  <si>
    <t>Identificador único del médico</t>
  </si>
  <si>
    <t>Nombre del médico</t>
  </si>
  <si>
    <t>Apellido del médico</t>
  </si>
  <si>
    <t>specialty</t>
  </si>
  <si>
    <t>Especialidad médica</t>
  </si>
  <si>
    <t>phone_number</t>
  </si>
  <si>
    <t>Teléfono del médico</t>
  </si>
  <si>
    <t>email</t>
  </si>
  <si>
    <t>Correo electrónico del médico</t>
  </si>
  <si>
    <t>hire_date</t>
  </si>
  <si>
    <t>Fecha de contratación</t>
  </si>
  <si>
    <t>status</t>
  </si>
  <si>
    <t>DEFAULT 'Activo'</t>
  </si>
  <si>
    <t>Estado del médico</t>
  </si>
  <si>
    <t>id_appointment</t>
  </si>
  <si>
    <t>Identificador de cita</t>
  </si>
  <si>
    <t>Paciente</t>
  </si>
  <si>
    <t>Médico</t>
  </si>
  <si>
    <t>appointment_date</t>
  </si>
  <si>
    <t>DATETIME</t>
  </si>
  <si>
    <t>Fecha y hora de la cita</t>
  </si>
  <si>
    <t>reason</t>
  </si>
  <si>
    <t>TEXT</t>
  </si>
  <si>
    <t>Motivo de la consulta</t>
  </si>
  <si>
    <t>DEFAULT 'Programada'</t>
  </si>
  <si>
    <t>Estado actual</t>
  </si>
  <si>
    <t>id_record</t>
  </si>
  <si>
    <t>Identificador de historia clínica</t>
  </si>
  <si>
    <t>Paciente asociado</t>
  </si>
  <si>
    <t>Médico responsable</t>
  </si>
  <si>
    <t>record_date</t>
  </si>
  <si>
    <t>Fecha del registro</t>
  </si>
  <si>
    <t>notes</t>
  </si>
  <si>
    <t>Notas médicas</t>
  </si>
  <si>
    <t>prescriptions</t>
  </si>
  <si>
    <t>Prescripciones médicas</t>
  </si>
  <si>
    <t>id_medication</t>
  </si>
  <si>
    <t>Identificador del medicamento</t>
  </si>
  <si>
    <t>name</t>
  </si>
  <si>
    <t>Nombre del medicamento</t>
  </si>
  <si>
    <t>description</t>
  </si>
  <si>
    <t>manufacturer</t>
  </si>
  <si>
    <t>Fabricante</t>
  </si>
  <si>
    <t>dosage</t>
  </si>
  <si>
    <t>Dosis recomendada</t>
  </si>
  <si>
    <t>stock</t>
  </si>
  <si>
    <t>Existencias actuales</t>
  </si>
  <si>
    <t>expiration_date</t>
  </si>
  <si>
    <t>Fecha de vencimiento</t>
  </si>
  <si>
    <t>id_user</t>
  </si>
  <si>
    <t>Identificador único del usuario</t>
  </si>
  <si>
    <t>username</t>
  </si>
  <si>
    <t>Nombre de usuario</t>
  </si>
  <si>
    <t>Correo electrónico del usuario</t>
  </si>
  <si>
    <t>password_hash</t>
  </si>
  <si>
    <t>Contraseña cifrada</t>
  </si>
  <si>
    <t>age</t>
  </si>
  <si>
    <t>Edad del usuario</t>
  </si>
  <si>
    <t>Fecha de registro</t>
  </si>
  <si>
    <t>id_role</t>
  </si>
  <si>
    <t>role_name</t>
  </si>
  <si>
    <t>Identificador único del rol.</t>
  </si>
  <si>
    <t>Nombre del rol asignable en el sistema (por ejemplo, “Doctor”, “Paciente”, “Administrador”).</t>
  </si>
  <si>
    <t>NULL</t>
  </si>
  <si>
    <t>Descripción general del rol y sus funciones dentro del sistema.</t>
  </si>
  <si>
    <t>id_user_role</t>
  </si>
  <si>
    <t>Identificador único del registro de relación usuario-rol.</t>
  </si>
  <si>
    <t>Identificador del usuario que posee el rol (relación con USERS.id_user).</t>
  </si>
  <si>
    <t>Identificador del rol asignado (relación con ROLES.id_role).</t>
  </si>
  <si>
    <t>assigned_date</t>
  </si>
  <si>
    <t>Fecha en la que se asignó el rol al usuario.</t>
  </si>
  <si>
    <t>active</t>
  </si>
  <si>
    <t>BOOLEAN</t>
  </si>
  <si>
    <t>DEFAULT TRUE</t>
  </si>
  <si>
    <t>Indica si el rol del usuario está actualmente activo.</t>
  </si>
  <si>
    <t>id_department</t>
  </si>
  <si>
    <t>Identificador del departamento</t>
  </si>
  <si>
    <t>Nombre del departamento</t>
  </si>
  <si>
    <t>location</t>
  </si>
  <si>
    <t>Ubicación</t>
  </si>
  <si>
    <t>head_doctor_id</t>
  </si>
  <si>
    <t>Médico jefe del departamento</t>
  </si>
  <si>
    <t>specialty_id</t>
  </si>
  <si>
    <t>SERIAL</t>
  </si>
  <si>
    <t>Identificador único de la especialidad médica.</t>
  </si>
  <si>
    <t>specialty_name</t>
  </si>
  <si>
    <t>UNIQUE, NOT NULL</t>
  </si>
  <si>
    <t>Nombre de la especialidad (por ejemplo, Cardiología, Pediatría, Dermatología, etc.).</t>
  </si>
  <si>
    <t>Descripción general o detalle sobre la especialidad médica.</t>
  </si>
  <si>
    <t>room_id</t>
  </si>
  <si>
    <t>Identificador único de la habitación.</t>
  </si>
  <si>
    <t>room_number</t>
  </si>
  <si>
    <t>Número o código de la habitación asignada (ejemplo: “A101”).</t>
  </si>
  <si>
    <t>room_type</t>
  </si>
  <si>
    <t>Tipo de habitación (Individual, Doble, UCI, Quirófano, etc.).</t>
  </si>
  <si>
    <t>floor</t>
  </si>
  <si>
    <t>INTEGER</t>
  </si>
  <si>
    <t>Piso o nivel en el que se encuentra la habitación.</t>
  </si>
  <si>
    <t>capacity</t>
  </si>
  <si>
    <t>Número máximo de pacientes permitidos en la habitación.</t>
  </si>
  <si>
    <t>availability_status</t>
  </si>
  <si>
    <t>DEFAULT 'Available'</t>
  </si>
  <si>
    <t>Estado actual de la habitación (Available, Occupied, Maintenance).</t>
  </si>
  <si>
    <t>Identificador del departamento o área médica responsable.</t>
  </si>
  <si>
    <t>Observaciones adicionales sobre la habitación.</t>
  </si>
  <si>
    <t xml:space="preserve"> </t>
  </si>
  <si>
    <t>Restricciones</t>
  </si>
  <si>
    <t>room_type_id</t>
  </si>
  <si>
    <t>PRIMARY KEY</t>
  </si>
  <si>
    <t>Identificador único del tipo de habitación.</t>
  </si>
  <si>
    <t>Nombre del tipo de habitación (por ejemplo: Individual, Doble, UCI, Quirófano).</t>
  </si>
  <si>
    <t>Descripción detallada del tipo de habitación y su propósito.</t>
  </si>
  <si>
    <t>daily_rate</t>
  </si>
  <si>
    <t>DECIMAL</t>
  </si>
  <si>
    <t>Tarifa diaria asignada a este tipo de habitación.</t>
  </si>
  <si>
    <t>amenities</t>
  </si>
  <si>
    <t>Lista o descripción de servicios incluidos (por ejemplo: televisión, baño privado, monitoreo, oxígeno).</t>
  </si>
  <si>
    <t>created_at</t>
  </si>
  <si>
    <t>TIMESTAMP</t>
  </si>
  <si>
    <t>DEFAULT CURRENT_TIMESTAMP</t>
  </si>
  <si>
    <t>Fecha y hora de creación del registro.</t>
  </si>
  <si>
    <t>updated_at</t>
  </si>
  <si>
    <t>Fecha y hora de última actualización.</t>
  </si>
  <si>
    <t>assignment_id</t>
  </si>
  <si>
    <t>Identificador único de la asignación de habitación.</t>
  </si>
  <si>
    <t>NOT NULL, FOREIGN KEY</t>
  </si>
  <si>
    <t>Identificador del paciente asignado (patients.patient_id).</t>
  </si>
  <si>
    <t>Identificador de la habitación asignada (rooms.room_id).</t>
  </si>
  <si>
    <t>FOREIGN KEY</t>
  </si>
  <si>
    <t>Identificador del médico responsable del paciente (doctors.doctor_id).</t>
  </si>
  <si>
    <t>admission_date</t>
  </si>
  <si>
    <t>Fecha en la que el paciente fue ingresado a la habitación.</t>
  </si>
  <si>
    <t>discharge_date</t>
  </si>
  <si>
    <t>Fecha de alta o salida del paciente de la habitación.</t>
  </si>
  <si>
    <t>Estado actual de la asignación (por ejemplo: Ocupada, Disponible, Reservada, Mantenimiento).</t>
  </si>
  <si>
    <t>Observaciones o comentarios sobre la asignación.</t>
  </si>
  <si>
    <t>Fecha y hora de última modificación.</t>
  </si>
  <si>
    <t>prescription_id</t>
  </si>
  <si>
    <t>Identificador único de la prescripción médica.</t>
  </si>
  <si>
    <t>Identificador del paciente al que se le emite la prescripción (patients.patient_id).</t>
  </si>
  <si>
    <t>Identificador del médico que emite la prescripción (doctors.doctor_id).</t>
  </si>
  <si>
    <t>medication_name</t>
  </si>
  <si>
    <t>Nombre del medicamento prescrito.</t>
  </si>
  <si>
    <t>Dosis o cantidad que debe administrarse (por ejemplo, 500 mg cada 8 horas).</t>
  </si>
  <si>
    <t>frequency</t>
  </si>
  <si>
    <t>Frecuencia de administración (por ejemplo, 3 veces al día).</t>
  </si>
  <si>
    <t>duration</t>
  </si>
  <si>
    <t>Duración del tratamiento (por ejemplo, 7 días).</t>
  </si>
  <si>
    <t>instructions</t>
  </si>
  <si>
    <t>Indicaciones adicionales sobre el uso del medicamento.</t>
  </si>
  <si>
    <t>issue_date</t>
  </si>
  <si>
    <t>Fecha en la que se emitió la prescripción.</t>
  </si>
  <si>
    <t>Fecha en la que expira o finaliza la prescripción.</t>
  </si>
  <si>
    <t>DEFAULT 'Activa'</t>
  </si>
  <si>
    <t>Estado actual de la prescripción (por ejemplo: Activa, Finalizada, Cancelada).</t>
  </si>
  <si>
    <t>record_detail_id</t>
  </si>
  <si>
    <t>Identificador único del detalle del historial médico.</t>
  </si>
  <si>
    <t>medical_record_id</t>
  </si>
  <si>
    <t>Referencia al historial médico principal (medical_records.medical_record_id).</t>
  </si>
  <si>
    <t>Identificador del médico responsable del registro (doctors.doctor_id).</t>
  </si>
  <si>
    <t>visit_date</t>
  </si>
  <si>
    <t>Fecha en la que se realizó la consulta o procedimiento.</t>
  </si>
  <si>
    <t>diagnosis</t>
  </si>
  <si>
    <t>Diagnóstico realizado durante la consulta.</t>
  </si>
  <si>
    <t>treatment</t>
  </si>
  <si>
    <t>Descripción del tratamiento o procedimiento indicado.</t>
  </si>
  <si>
    <t>Identificador de la prescripción asociada (prescriptions.prescription_id).</t>
  </si>
  <si>
    <t>Observaciones adicionales relevantes al caso clínico.</t>
  </si>
  <si>
    <t>next_appointment</t>
  </si>
  <si>
    <t>Fecha de la próxima cita programada, si aplica.</t>
  </si>
  <si>
    <t>Fecha y hora de última modificación del registro.</t>
  </si>
  <si>
    <t>permission_id</t>
  </si>
  <si>
    <t>Identificador único del permiso.</t>
  </si>
  <si>
    <t>user_id</t>
  </si>
  <si>
    <t>Referencia al usuario que recibe el permiso (users.user_id).</t>
  </si>
  <si>
    <t>resource_type</t>
  </si>
  <si>
    <t>Tipo de recurso al que aplica el permiso (p.ej., módulo, registro, historial).</t>
  </si>
  <si>
    <t>resource_id</t>
  </si>
  <si>
    <t>NULL, FOREIGN KEY</t>
  </si>
  <si>
    <t>Referencia al recurso específico si aplica (p.ej., medical_records.medical_record_id).</t>
  </si>
  <si>
    <t>permission_level</t>
  </si>
  <si>
    <t>Nivel de permiso (Read, Write, Admin, etc.).</t>
  </si>
  <si>
    <t>granted_by</t>
  </si>
  <si>
    <t>Usuario que otorgó el permiso.</t>
  </si>
  <si>
    <t>granted_at</t>
  </si>
  <si>
    <t>Fecha y hora de creación del permiso.</t>
  </si>
  <si>
    <t>revoked_at</t>
  </si>
  <si>
    <t>Fecha y hora de revocación, si aplica.</t>
  </si>
  <si>
    <t>Observaciones sobre el permiso.</t>
  </si>
  <si>
    <t>Última modificación del registro.</t>
  </si>
  <si>
    <t>status_code_id</t>
  </si>
  <si>
    <t>Identificador único del código de estado.</t>
  </si>
  <si>
    <t>code</t>
  </si>
  <si>
    <t>NOT NULL, UNIQUE</t>
  </si>
  <si>
    <t>Código abreviado del estado (p.ej., Scheduled, Confirmed, Cancelled).</t>
  </si>
  <si>
    <t>Descripción detallada del estado.</t>
  </si>
  <si>
    <t>module_name</t>
  </si>
  <si>
    <t>Módulo del sistema al que aplica este estado (appointments, medical_records, prescriptions, etc.).</t>
  </si>
  <si>
    <t>is_active</t>
  </si>
  <si>
    <t>Indica si el código de estado está activo y en uso.</t>
  </si>
  <si>
    <t>Fecha y hora de la última modificación.</t>
  </si>
  <si>
    <t>Observaciones adicionales sobre el código de estado.</t>
  </si>
  <si>
    <t>billing_id</t>
  </si>
  <si>
    <t>Identificador único del registro de facturación.</t>
  </si>
  <si>
    <t>Referencia al paciente asociado (patients.patient_id).</t>
  </si>
  <si>
    <t>Referencia al historial médico relacionado, si aplica (medical_records.medical_record_id).</t>
  </si>
  <si>
    <t>billing_date</t>
  </si>
  <si>
    <t>Fecha y hora de emisión de la factura.</t>
  </si>
  <si>
    <t>total_amount</t>
  </si>
  <si>
    <t>NUMERIC(12,2)</t>
  </si>
  <si>
    <t>Monto total de la factura.</t>
  </si>
  <si>
    <t>Estado de la factura (status_code.status_code_id).</t>
  </si>
  <si>
    <t>payment_method</t>
  </si>
  <si>
    <t>Método de pago utilizado (efectivo, tarjeta, seguro, etc.).</t>
  </si>
  <si>
    <t>issued_by</t>
  </si>
  <si>
    <t>Usuario que generó la factura (users.user_id).</t>
  </si>
  <si>
    <t>Observaciones adicionales sobre la factura.</t>
  </si>
  <si>
    <t>payment_id</t>
  </si>
  <si>
    <t>Identificador único del pago.</t>
  </si>
  <si>
    <t>Referencia a la factura asociada (billings.billing_id).</t>
  </si>
  <si>
    <t>payment_date</t>
  </si>
  <si>
    <t>Fecha y hora en que se realizó el pago.</t>
  </si>
  <si>
    <t>amount_paid</t>
  </si>
  <si>
    <t>Monto pagado en esta transacción.</t>
  </si>
  <si>
    <t>Método de pago (efectivo, tarjeta, transferencia, seguro, etc.).</t>
  </si>
  <si>
    <t>received_by</t>
  </si>
  <si>
    <t>Usuario que recibió o procesó el pago (users.user_id).</t>
  </si>
  <si>
    <t>Estado del pago (status_code.status_code_id).</t>
  </si>
  <si>
    <t>Observaciones adicionales sobre el pago.</t>
  </si>
  <si>
    <t>insurance_id</t>
  </si>
  <si>
    <t>Identificador único del seguro.</t>
  </si>
  <si>
    <t>Referencia al paciente asegurado (patients.patient_id).</t>
  </si>
  <si>
    <t>provider_name</t>
  </si>
  <si>
    <t>Nombre de la compañía de seguros.</t>
  </si>
  <si>
    <t>policy_number</t>
  </si>
  <si>
    <t>Número de póliza del seguro.</t>
  </si>
  <si>
    <t>coverage_type</t>
  </si>
  <si>
    <t>Tipo de cobertura (total, parcial, hospitalización, ambulatorio, etc.).</t>
  </si>
  <si>
    <t>valid_from</t>
  </si>
  <si>
    <t>Fecha de inicio de la vigencia del seguro.</t>
  </si>
  <si>
    <t>valid_to</t>
  </si>
  <si>
    <t>Fecha de fin de la vigencia, si aplica.</t>
  </si>
  <si>
    <t>contact_number</t>
  </si>
  <si>
    <t>Teléfono de contacto de la aseguradora.</t>
  </si>
  <si>
    <t>Observaciones adicionales sobre la póliza o cobertura.</t>
  </si>
  <si>
    <t>Fecha y hora de la última modificación del registro.</t>
  </si>
  <si>
    <t>Jesus CamiloTorres Suarez</t>
  </si>
  <si>
    <t>01 de noviembre 2025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</si>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</sst>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0"/>
      <name val="Arial Narrow"/>
      <family val="2"/>
    </font>
    <font>
      <sz val="26"/>
      <color theme="1"/>
      <name val="Arial Narrow"/>
      <family val="2"/>
    </font>
    <font>
      <sz val="18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"/>
      <family val="2"/>
    </font>
    <font>
      <b/>
      <sz val="14"/>
      <color theme="1"/>
      <name val="Arial Narrow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7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3" fillId="0" borderId="11" xfId="1" applyBorder="1" applyAlignment="1">
      <alignment horizontal="center" vertical="center"/>
    </xf>
    <xf numFmtId="0" fontId="3" fillId="0" borderId="13" xfId="1" applyBorder="1" applyAlignment="1">
      <alignment horizontal="center" vertical="center"/>
    </xf>
    <xf numFmtId="0" fontId="3" fillId="0" borderId="14" xfId="1" applyBorder="1" applyAlignment="1">
      <alignment horizontal="center" vertical="center"/>
    </xf>
    <xf numFmtId="0" fontId="3" fillId="0" borderId="15" xfId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8</xdr:col>
      <xdr:colOff>304800</xdr:colOff>
      <xdr:row>2</xdr:row>
      <xdr:rowOff>304800</xdr:rowOff>
    </xdr:to>
    <xdr:sp macro="" textlink="">
      <xdr:nvSpPr>
        <xdr:cNvPr id="1025" name="AutoShape 1" descr="Imagen de ">
          <a:extLst>
            <a:ext uri="{FF2B5EF4-FFF2-40B4-BE49-F238E27FC236}">
              <a16:creationId xmlns:a16="http://schemas.microsoft.com/office/drawing/2014/main" id="{24F4A7F3-EC8D-74B4-B6E4-C9CBB7DD94AA}"/>
            </a:ext>
          </a:extLst>
        </xdr:cNvPr>
        <xdr:cNvSpPr>
          <a:spLocks noChangeAspect="1" noChangeArrowheads="1"/>
        </xdr:cNvSpPr>
      </xdr:nvSpPr>
      <xdr:spPr bwMode="auto">
        <a:xfrm>
          <a:off x="729615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530D-287E-44C1-AEE9-B4B93DF032F8}">
  <dimension ref="A1:H64"/>
  <sheetViews>
    <sheetView tabSelected="1" zoomScale="71" zoomScaleNormal="71" workbookViewId="0">
      <selection activeCell="K3" sqref="K3"/>
    </sheetView>
  </sheetViews>
  <sheetFormatPr baseColWidth="10" defaultRowHeight="14.4" x14ac:dyDescent="0.3"/>
  <cols>
    <col min="1" max="1" width="26.109375" style="38" customWidth="1"/>
    <col min="2" max="2" width="24.33203125" style="38" customWidth="1"/>
    <col min="3" max="3" width="20.6640625" style="38" customWidth="1"/>
    <col min="4" max="4" width="23" style="38" customWidth="1"/>
    <col min="5" max="5" width="37.109375" style="38" customWidth="1"/>
    <col min="6" max="7" width="11.5546875" style="38"/>
    <col min="8" max="8" width="18.109375" style="38" customWidth="1"/>
    <col min="9" max="16384" width="11.5546875" style="38"/>
  </cols>
  <sheetData>
    <row r="1" spans="1:8" ht="32.4" x14ac:dyDescent="0.3">
      <c r="A1" s="50" t="s">
        <v>24</v>
      </c>
      <c r="B1" s="51"/>
      <c r="C1" s="51"/>
      <c r="D1" s="51"/>
      <c r="E1" s="51"/>
      <c r="F1" s="51"/>
      <c r="G1" s="51"/>
      <c r="H1" s="51"/>
    </row>
    <row r="2" spans="1:8" ht="23.4" x14ac:dyDescent="0.3">
      <c r="A2" s="52" t="s">
        <v>25</v>
      </c>
      <c r="B2" s="52"/>
      <c r="C2" s="52"/>
      <c r="D2" s="52"/>
      <c r="E2" s="52"/>
      <c r="F2" s="52"/>
      <c r="G2" s="52"/>
      <c r="H2" s="52"/>
    </row>
    <row r="3" spans="1:8" ht="87.6" customHeight="1" x14ac:dyDescent="0.3">
      <c r="A3" s="1" t="s">
        <v>3</v>
      </c>
      <c r="B3" s="31" t="s">
        <v>26</v>
      </c>
      <c r="C3" s="31"/>
      <c r="D3" s="31"/>
      <c r="E3" s="31"/>
      <c r="F3" s="31"/>
      <c r="G3" s="31"/>
      <c r="H3" s="31"/>
    </row>
    <row r="4" spans="1:8" ht="67.2" customHeight="1" x14ac:dyDescent="0.3">
      <c r="A4" s="1" t="s">
        <v>4</v>
      </c>
      <c r="B4" s="34" t="s">
        <v>27</v>
      </c>
      <c r="C4" s="35"/>
      <c r="D4" s="35"/>
      <c r="E4" s="35"/>
      <c r="F4" s="35"/>
      <c r="G4" s="35"/>
      <c r="H4" s="36"/>
    </row>
    <row r="5" spans="1:8" x14ac:dyDescent="0.3">
      <c r="A5" s="1" t="s">
        <v>5</v>
      </c>
      <c r="B5" s="31" t="s">
        <v>353</v>
      </c>
      <c r="C5" s="31"/>
      <c r="D5" s="31"/>
      <c r="E5" s="31"/>
      <c r="F5" s="31"/>
      <c r="G5" s="31"/>
      <c r="H5" s="31"/>
    </row>
    <row r="6" spans="1:8" ht="36.75" customHeight="1" x14ac:dyDescent="0.3">
      <c r="A6" s="1" t="s">
        <v>6</v>
      </c>
      <c r="B6" s="34" t="s">
        <v>352</v>
      </c>
      <c r="C6" s="35"/>
      <c r="D6" s="35"/>
      <c r="E6" s="35"/>
      <c r="F6" s="35"/>
      <c r="G6" s="35"/>
      <c r="H6" s="36"/>
    </row>
    <row r="7" spans="1:8" x14ac:dyDescent="0.3">
      <c r="A7" s="1" t="s">
        <v>7</v>
      </c>
      <c r="B7" s="37">
        <v>45968</v>
      </c>
      <c r="C7" s="31"/>
      <c r="D7" s="31"/>
      <c r="E7" s="31"/>
      <c r="F7" s="31"/>
      <c r="G7" s="31"/>
      <c r="H7" s="31"/>
    </row>
    <row r="8" spans="1:8" ht="25.5" customHeight="1" x14ac:dyDescent="0.3">
      <c r="A8" s="1" t="s">
        <v>8</v>
      </c>
      <c r="B8" s="31" t="s">
        <v>9</v>
      </c>
      <c r="C8" s="31"/>
      <c r="D8" s="31"/>
      <c r="E8" s="31"/>
      <c r="F8" s="31"/>
      <c r="G8" s="31"/>
      <c r="H8" s="31"/>
    </row>
    <row r="9" spans="1:8" ht="23.4" x14ac:dyDescent="0.3">
      <c r="A9" s="52" t="s">
        <v>10</v>
      </c>
      <c r="B9" s="52"/>
      <c r="C9" s="52"/>
      <c r="D9" s="52"/>
      <c r="E9" s="52"/>
      <c r="F9" s="52"/>
      <c r="G9" s="52"/>
      <c r="H9" s="52"/>
    </row>
    <row r="10" spans="1:8" ht="65.400000000000006" customHeight="1" x14ac:dyDescent="0.3">
      <c r="A10" s="1" t="s">
        <v>11</v>
      </c>
      <c r="B10" s="31" t="s">
        <v>28</v>
      </c>
      <c r="C10" s="31"/>
      <c r="D10" s="31"/>
      <c r="E10" s="31"/>
      <c r="F10" s="31"/>
      <c r="G10" s="31"/>
      <c r="H10" s="31"/>
    </row>
    <row r="11" spans="1:8" ht="51.6" customHeight="1" x14ac:dyDescent="0.3">
      <c r="A11" s="1" t="s">
        <v>12</v>
      </c>
      <c r="B11" s="31" t="s">
        <v>29</v>
      </c>
      <c r="C11" s="31"/>
      <c r="D11" s="31"/>
      <c r="E11" s="31"/>
      <c r="F11" s="31"/>
      <c r="G11" s="31"/>
      <c r="H11" s="31"/>
    </row>
    <row r="12" spans="1:8" ht="66.75" customHeight="1" x14ac:dyDescent="0.3">
      <c r="A12" s="1" t="s">
        <v>13</v>
      </c>
      <c r="B12" s="31" t="s">
        <v>30</v>
      </c>
      <c r="C12" s="31"/>
      <c r="D12" s="31"/>
      <c r="E12" s="31"/>
      <c r="F12" s="31"/>
      <c r="G12" s="31"/>
      <c r="H12" s="31"/>
    </row>
    <row r="13" spans="1:8" ht="36.6" customHeight="1" x14ac:dyDescent="0.3">
      <c r="A13" s="1" t="s">
        <v>14</v>
      </c>
      <c r="B13" s="31" t="s">
        <v>31</v>
      </c>
      <c r="C13" s="31"/>
      <c r="D13" s="31"/>
      <c r="E13" s="31"/>
      <c r="F13" s="31"/>
      <c r="G13" s="31"/>
      <c r="H13" s="31"/>
    </row>
    <row r="14" spans="1:8" ht="48.75" customHeight="1" x14ac:dyDescent="0.3">
      <c r="A14" s="1" t="s">
        <v>15</v>
      </c>
      <c r="B14" s="31" t="s">
        <v>32</v>
      </c>
      <c r="C14" s="31"/>
      <c r="D14" s="31"/>
      <c r="E14" s="31"/>
      <c r="F14" s="31"/>
      <c r="G14" s="31"/>
      <c r="H14" s="31"/>
    </row>
    <row r="15" spans="1:8" ht="53.25" customHeight="1" x14ac:dyDescent="0.3">
      <c r="A15" s="1" t="s">
        <v>16</v>
      </c>
      <c r="B15" s="31" t="s">
        <v>33</v>
      </c>
      <c r="C15" s="31"/>
      <c r="D15" s="31"/>
      <c r="E15" s="31"/>
      <c r="F15" s="31"/>
      <c r="G15" s="31"/>
      <c r="H15" s="31"/>
    </row>
    <row r="16" spans="1:8" ht="23.4" x14ac:dyDescent="0.3">
      <c r="A16" s="52" t="s">
        <v>17</v>
      </c>
      <c r="B16" s="52"/>
      <c r="C16" s="52"/>
      <c r="D16" s="52"/>
      <c r="E16" s="52"/>
      <c r="F16" s="52"/>
      <c r="G16" s="52"/>
      <c r="H16" s="52"/>
    </row>
    <row r="17" spans="1:8" ht="18" x14ac:dyDescent="0.3">
      <c r="A17" s="2" t="s">
        <v>18</v>
      </c>
      <c r="B17" s="33" t="s">
        <v>19</v>
      </c>
      <c r="C17" s="33"/>
      <c r="D17" s="33"/>
      <c r="E17" s="33"/>
      <c r="F17" s="33" t="s">
        <v>20</v>
      </c>
      <c r="G17" s="33"/>
      <c r="H17" s="33"/>
    </row>
    <row r="18" spans="1:8" ht="55.5" customHeight="1" x14ac:dyDescent="0.3">
      <c r="A18" s="3" t="s">
        <v>34</v>
      </c>
      <c r="B18" s="31" t="s">
        <v>35</v>
      </c>
      <c r="C18" s="31"/>
      <c r="D18" s="31"/>
      <c r="E18" s="31"/>
      <c r="F18" s="32" t="str">
        <f>CONCATENATE(A18,"_LINK")</f>
        <v>PATIENTS_LINK</v>
      </c>
      <c r="G18" s="32"/>
      <c r="H18" s="32"/>
    </row>
    <row r="19" spans="1:8" ht="51.75" customHeight="1" x14ac:dyDescent="0.3">
      <c r="A19" s="3" t="s">
        <v>36</v>
      </c>
      <c r="B19" s="31" t="s">
        <v>37</v>
      </c>
      <c r="C19" s="31"/>
      <c r="D19" s="31"/>
      <c r="E19" s="31"/>
      <c r="F19" s="32" t="str">
        <f t="shared" ref="F19:F22" si="0">CONCATENATE(A19,"_LINK")</f>
        <v>DOCTORS_LINK</v>
      </c>
      <c r="G19" s="32"/>
      <c r="H19" s="32"/>
    </row>
    <row r="20" spans="1:8" ht="56.25" customHeight="1" x14ac:dyDescent="0.3">
      <c r="A20" s="3" t="s">
        <v>38</v>
      </c>
      <c r="B20" s="31" t="s">
        <v>39</v>
      </c>
      <c r="C20" s="31"/>
      <c r="D20" s="31"/>
      <c r="E20" s="31"/>
      <c r="F20" s="32" t="str">
        <f>CONCATENATE(A20,"_LINK")</f>
        <v>APPOINTMENTS_LINK</v>
      </c>
      <c r="G20" s="32"/>
      <c r="H20" s="32"/>
    </row>
    <row r="21" spans="1:8" ht="57.75" customHeight="1" x14ac:dyDescent="0.3">
      <c r="A21" s="3" t="s">
        <v>40</v>
      </c>
      <c r="B21" s="31" t="s">
        <v>41</v>
      </c>
      <c r="C21" s="31"/>
      <c r="D21" s="31"/>
      <c r="E21" s="31"/>
      <c r="F21" s="32" t="str">
        <f>CONCATENATE(A21,"_LINK")</f>
        <v>MEDICAL_RECORDS_LINK</v>
      </c>
      <c r="G21" s="32"/>
      <c r="H21" s="32"/>
    </row>
    <row r="22" spans="1:8" ht="48" customHeight="1" x14ac:dyDescent="0.3">
      <c r="A22" s="3" t="s">
        <v>42</v>
      </c>
      <c r="B22" s="31" t="s">
        <v>43</v>
      </c>
      <c r="C22" s="31"/>
      <c r="D22" s="31"/>
      <c r="E22" s="31"/>
      <c r="F22" s="32" t="str">
        <f t="shared" si="0"/>
        <v>MEDICATIONS_LINK</v>
      </c>
      <c r="G22" s="32"/>
      <c r="H22" s="32"/>
    </row>
    <row r="23" spans="1:8" ht="76.5" customHeight="1" x14ac:dyDescent="0.3">
      <c r="A23" s="3" t="s">
        <v>21</v>
      </c>
      <c r="B23" s="31" t="s">
        <v>44</v>
      </c>
      <c r="C23" s="31"/>
      <c r="D23" s="31"/>
      <c r="E23" s="31"/>
      <c r="F23" s="32" t="str">
        <f t="shared" ref="F23:F29" si="1">CONCATENATE(A23,"_LINK")</f>
        <v>USERS_LINK</v>
      </c>
      <c r="G23" s="32"/>
      <c r="H23" s="32"/>
    </row>
    <row r="24" spans="1:8" ht="65.25" customHeight="1" x14ac:dyDescent="0.3">
      <c r="A24" s="3" t="s">
        <v>22</v>
      </c>
      <c r="B24" s="31" t="s">
        <v>45</v>
      </c>
      <c r="C24" s="31"/>
      <c r="D24" s="31"/>
      <c r="E24" s="31"/>
      <c r="F24" s="32" t="str">
        <f t="shared" si="1"/>
        <v>ROLES_LINK</v>
      </c>
      <c r="G24" s="32"/>
      <c r="H24" s="32"/>
    </row>
    <row r="25" spans="1:8" ht="48" customHeight="1" x14ac:dyDescent="0.3">
      <c r="A25" s="3" t="s">
        <v>23</v>
      </c>
      <c r="B25" s="31" t="s">
        <v>46</v>
      </c>
      <c r="C25" s="31"/>
      <c r="D25" s="31"/>
      <c r="E25" s="31"/>
      <c r="F25" s="32" t="str">
        <f t="shared" si="1"/>
        <v>USER_ROLES_LINK</v>
      </c>
      <c r="G25" s="32"/>
      <c r="H25" s="32"/>
    </row>
    <row r="26" spans="1:8" ht="46.5" customHeight="1" x14ac:dyDescent="0.3">
      <c r="A26" s="3" t="s">
        <v>47</v>
      </c>
      <c r="B26" s="25" t="s">
        <v>48</v>
      </c>
      <c r="C26" s="26"/>
      <c r="D26" s="26"/>
      <c r="E26" s="27"/>
      <c r="F26" s="28" t="str">
        <f t="shared" si="1"/>
        <v>DEPARTMENTS_LINK</v>
      </c>
      <c r="G26" s="29"/>
      <c r="H26" s="30"/>
    </row>
    <row r="27" spans="1:8" ht="64.5" customHeight="1" x14ac:dyDescent="0.3">
      <c r="A27" s="3" t="s">
        <v>49</v>
      </c>
      <c r="B27" s="25" t="s">
        <v>50</v>
      </c>
      <c r="C27" s="26"/>
      <c r="D27" s="26"/>
      <c r="E27" s="27"/>
      <c r="F27" s="28" t="str">
        <f t="shared" si="1"/>
        <v>SPECIALTIES_LINK</v>
      </c>
      <c r="G27" s="29"/>
      <c r="H27" s="30"/>
    </row>
    <row r="28" spans="1:8" ht="51.75" customHeight="1" x14ac:dyDescent="0.3">
      <c r="A28" s="3" t="s">
        <v>51</v>
      </c>
      <c r="B28" s="31" t="s">
        <v>52</v>
      </c>
      <c r="C28" s="31"/>
      <c r="D28" s="31"/>
      <c r="E28" s="31"/>
      <c r="F28" s="32" t="str">
        <f t="shared" si="1"/>
        <v>ROOMS_LINK</v>
      </c>
      <c r="G28" s="32"/>
      <c r="H28" s="32"/>
    </row>
    <row r="29" spans="1:8" ht="48" customHeight="1" x14ac:dyDescent="0.3">
      <c r="A29" s="4" t="s">
        <v>53</v>
      </c>
      <c r="B29" s="40" t="s">
        <v>54</v>
      </c>
      <c r="C29" s="41"/>
      <c r="D29" s="41"/>
      <c r="E29" s="42"/>
      <c r="F29" s="16" t="str">
        <f t="shared" si="1"/>
        <v>ROOM_TYPES_LINK</v>
      </c>
      <c r="G29" s="17"/>
      <c r="H29" s="18"/>
    </row>
    <row r="30" spans="1:8" x14ac:dyDescent="0.3">
      <c r="A30" s="5"/>
      <c r="B30" s="43"/>
      <c r="C30" s="44"/>
      <c r="D30" s="44"/>
      <c r="E30" s="45"/>
      <c r="F30" s="19"/>
      <c r="G30" s="20"/>
      <c r="H30" s="21"/>
    </row>
    <row r="31" spans="1:8" x14ac:dyDescent="0.3">
      <c r="A31" s="5"/>
      <c r="B31" s="43"/>
      <c r="C31" s="44"/>
      <c r="D31" s="44"/>
      <c r="E31" s="45"/>
      <c r="F31" s="19"/>
      <c r="G31" s="20"/>
      <c r="H31" s="21"/>
    </row>
    <row r="32" spans="1:8" x14ac:dyDescent="0.3">
      <c r="A32" s="6"/>
      <c r="B32" s="46"/>
      <c r="C32" s="47"/>
      <c r="D32" s="47"/>
      <c r="E32" s="48"/>
      <c r="F32" s="22"/>
      <c r="G32" s="23"/>
      <c r="H32" s="24"/>
    </row>
    <row r="33" spans="1:8" x14ac:dyDescent="0.3">
      <c r="A33" s="4" t="s">
        <v>55</v>
      </c>
      <c r="B33" s="7" t="s">
        <v>56</v>
      </c>
      <c r="C33" s="8"/>
      <c r="D33" s="8"/>
      <c r="E33" s="9"/>
      <c r="F33" s="16" t="str">
        <f>CONCATENATE(A33,"_LINK")</f>
        <v>ROOM_ASSIGNMENTS_LINK</v>
      </c>
      <c r="G33" s="17"/>
      <c r="H33" s="18"/>
    </row>
    <row r="34" spans="1:8" x14ac:dyDescent="0.3">
      <c r="A34" s="5"/>
      <c r="B34" s="10"/>
      <c r="C34" s="11"/>
      <c r="D34" s="11"/>
      <c r="E34" s="12"/>
      <c r="F34" s="19"/>
      <c r="G34" s="20"/>
      <c r="H34" s="21"/>
    </row>
    <row r="35" spans="1:8" x14ac:dyDescent="0.3">
      <c r="A35" s="5"/>
      <c r="B35" s="10"/>
      <c r="C35" s="11"/>
      <c r="D35" s="11"/>
      <c r="E35" s="12"/>
      <c r="F35" s="19"/>
      <c r="G35" s="20"/>
      <c r="H35" s="21"/>
    </row>
    <row r="36" spans="1:8" x14ac:dyDescent="0.3">
      <c r="A36" s="6"/>
      <c r="B36" s="13"/>
      <c r="C36" s="14"/>
      <c r="D36" s="14"/>
      <c r="E36" s="15"/>
      <c r="F36" s="22"/>
      <c r="G36" s="23"/>
      <c r="H36" s="24"/>
    </row>
    <row r="37" spans="1:8" x14ac:dyDescent="0.3">
      <c r="A37" s="4" t="s">
        <v>57</v>
      </c>
      <c r="B37" s="7" t="s">
        <v>60</v>
      </c>
      <c r="C37" s="8"/>
      <c r="D37" s="8"/>
      <c r="E37" s="9"/>
      <c r="F37" s="16" t="str">
        <f>CONCATENATE(A37,"_LINK")</f>
        <v>PRESCRIPTIONS_LINK</v>
      </c>
      <c r="G37" s="17"/>
      <c r="H37" s="18"/>
    </row>
    <row r="38" spans="1:8" x14ac:dyDescent="0.3">
      <c r="A38" s="5"/>
      <c r="B38" s="10"/>
      <c r="C38" s="11"/>
      <c r="D38" s="11"/>
      <c r="E38" s="12"/>
      <c r="F38" s="19"/>
      <c r="G38" s="20"/>
      <c r="H38" s="21"/>
    </row>
    <row r="39" spans="1:8" x14ac:dyDescent="0.3">
      <c r="A39" s="5"/>
      <c r="B39" s="10"/>
      <c r="C39" s="11"/>
      <c r="D39" s="11"/>
      <c r="E39" s="12"/>
      <c r="F39" s="19"/>
      <c r="G39" s="20"/>
      <c r="H39" s="21"/>
    </row>
    <row r="40" spans="1:8" x14ac:dyDescent="0.3">
      <c r="A40" s="6"/>
      <c r="B40" s="13"/>
      <c r="C40" s="14"/>
      <c r="D40" s="14"/>
      <c r="E40" s="15"/>
      <c r="F40" s="22"/>
      <c r="G40" s="23"/>
      <c r="H40" s="24"/>
    </row>
    <row r="41" spans="1:8" x14ac:dyDescent="0.3">
      <c r="A41" s="4" t="s">
        <v>59</v>
      </c>
      <c r="B41" s="7" t="s">
        <v>62</v>
      </c>
      <c r="C41" s="8"/>
      <c r="D41" s="8"/>
      <c r="E41" s="9"/>
      <c r="F41" s="16" t="str">
        <f>CONCATENATE(A41,"_LINK")</f>
        <v>MEDICAL_RECORD_DETAILS_LINK</v>
      </c>
      <c r="G41" s="17"/>
      <c r="H41" s="18"/>
    </row>
    <row r="42" spans="1:8" x14ac:dyDescent="0.3">
      <c r="A42" s="5"/>
      <c r="B42" s="10"/>
      <c r="C42" s="11"/>
      <c r="D42" s="11"/>
      <c r="E42" s="12"/>
      <c r="F42" s="19"/>
      <c r="G42" s="20"/>
      <c r="H42" s="21"/>
    </row>
    <row r="43" spans="1:8" x14ac:dyDescent="0.3">
      <c r="A43" s="5"/>
      <c r="B43" s="10"/>
      <c r="C43" s="11"/>
      <c r="D43" s="11"/>
      <c r="E43" s="12"/>
      <c r="F43" s="19"/>
      <c r="G43" s="20"/>
      <c r="H43" s="21"/>
    </row>
    <row r="44" spans="1:8" x14ac:dyDescent="0.3">
      <c r="A44" s="6"/>
      <c r="B44" s="13"/>
      <c r="C44" s="14"/>
      <c r="D44" s="14"/>
      <c r="E44" s="15"/>
      <c r="F44" s="22"/>
      <c r="G44" s="23"/>
      <c r="H44" s="24"/>
    </row>
    <row r="45" spans="1:8" x14ac:dyDescent="0.3">
      <c r="A45" s="4" t="s">
        <v>61</v>
      </c>
      <c r="B45" s="7" t="s">
        <v>58</v>
      </c>
      <c r="C45" s="8"/>
      <c r="D45" s="8"/>
      <c r="E45" s="9"/>
      <c r="F45" s="16" t="str">
        <f>CONCATENATE(A45,"_LINK")</f>
        <v>PERMISSIONS_LINK</v>
      </c>
      <c r="G45" s="17"/>
      <c r="H45" s="18"/>
    </row>
    <row r="46" spans="1:8" x14ac:dyDescent="0.3">
      <c r="A46" s="5"/>
      <c r="B46" s="10"/>
      <c r="C46" s="11"/>
      <c r="D46" s="11"/>
      <c r="E46" s="12"/>
      <c r="F46" s="19"/>
      <c r="G46" s="20"/>
      <c r="H46" s="21"/>
    </row>
    <row r="47" spans="1:8" x14ac:dyDescent="0.3">
      <c r="A47" s="5"/>
      <c r="B47" s="10"/>
      <c r="C47" s="11"/>
      <c r="D47" s="11"/>
      <c r="E47" s="12"/>
      <c r="F47" s="19"/>
      <c r="G47" s="20"/>
      <c r="H47" s="21"/>
    </row>
    <row r="48" spans="1:8" x14ac:dyDescent="0.3">
      <c r="A48" s="6"/>
      <c r="B48" s="13"/>
      <c r="C48" s="14"/>
      <c r="D48" s="14"/>
      <c r="E48" s="15"/>
      <c r="F48" s="22"/>
      <c r="G48" s="23"/>
      <c r="H48" s="24"/>
    </row>
    <row r="49" spans="1:8" x14ac:dyDescent="0.3">
      <c r="A49" s="4" t="s">
        <v>63</v>
      </c>
      <c r="B49" s="7" t="s">
        <v>64</v>
      </c>
      <c r="C49" s="8"/>
      <c r="D49" s="8"/>
      <c r="E49" s="9"/>
      <c r="F49" s="16" t="str">
        <f>CONCATENATE(A49,"_LINK")</f>
        <v>STATUS_CODES_LINK</v>
      </c>
      <c r="G49" s="17"/>
      <c r="H49" s="18"/>
    </row>
    <row r="50" spans="1:8" x14ac:dyDescent="0.3">
      <c r="A50" s="5"/>
      <c r="B50" s="10"/>
      <c r="C50" s="11"/>
      <c r="D50" s="11"/>
      <c r="E50" s="12"/>
      <c r="F50" s="19"/>
      <c r="G50" s="20"/>
      <c r="H50" s="21"/>
    </row>
    <row r="51" spans="1:8" x14ac:dyDescent="0.3">
      <c r="A51" s="5"/>
      <c r="B51" s="10"/>
      <c r="C51" s="11"/>
      <c r="D51" s="11"/>
      <c r="E51" s="12"/>
      <c r="F51" s="19"/>
      <c r="G51" s="20"/>
      <c r="H51" s="21"/>
    </row>
    <row r="52" spans="1:8" x14ac:dyDescent="0.3">
      <c r="A52" s="6"/>
      <c r="B52" s="13"/>
      <c r="C52" s="14"/>
      <c r="D52" s="14"/>
      <c r="E52" s="15"/>
      <c r="F52" s="22"/>
      <c r="G52" s="23"/>
      <c r="H52" s="24"/>
    </row>
    <row r="53" spans="1:8" x14ac:dyDescent="0.3">
      <c r="A53" s="4" t="s">
        <v>65</v>
      </c>
      <c r="B53" s="7" t="s">
        <v>66</v>
      </c>
      <c r="C53" s="8"/>
      <c r="D53" s="8"/>
      <c r="E53" s="9"/>
      <c r="F53" s="16" t="str">
        <f>CONCATENATE(A53,"_LINK")</f>
        <v>BILLING_LINK</v>
      </c>
      <c r="G53" s="17"/>
      <c r="H53" s="18"/>
    </row>
    <row r="54" spans="1:8" x14ac:dyDescent="0.3">
      <c r="A54" s="5"/>
      <c r="B54" s="10"/>
      <c r="C54" s="11"/>
      <c r="D54" s="11"/>
      <c r="E54" s="12"/>
      <c r="F54" s="19"/>
      <c r="G54" s="20"/>
      <c r="H54" s="21"/>
    </row>
    <row r="55" spans="1:8" x14ac:dyDescent="0.3">
      <c r="A55" s="5"/>
      <c r="B55" s="10"/>
      <c r="C55" s="11"/>
      <c r="D55" s="11"/>
      <c r="E55" s="12"/>
      <c r="F55" s="19"/>
      <c r="G55" s="20"/>
      <c r="H55" s="21"/>
    </row>
    <row r="56" spans="1:8" x14ac:dyDescent="0.3">
      <c r="A56" s="6"/>
      <c r="B56" s="13"/>
      <c r="C56" s="14"/>
      <c r="D56" s="14"/>
      <c r="E56" s="15"/>
      <c r="F56" s="22"/>
      <c r="G56" s="23"/>
      <c r="H56" s="24"/>
    </row>
    <row r="57" spans="1:8" x14ac:dyDescent="0.3">
      <c r="A57" s="4" t="s">
        <v>67</v>
      </c>
      <c r="B57" s="7" t="s">
        <v>68</v>
      </c>
      <c r="C57" s="8"/>
      <c r="D57" s="8"/>
      <c r="E57" s="9"/>
      <c r="F57" s="16" t="str">
        <f>CONCATENATE(A57,"_LINK")</f>
        <v>PAYMENTS_LINK</v>
      </c>
      <c r="G57" s="17"/>
      <c r="H57" s="18"/>
    </row>
    <row r="58" spans="1:8" x14ac:dyDescent="0.3">
      <c r="A58" s="5"/>
      <c r="B58" s="10"/>
      <c r="C58" s="11"/>
      <c r="D58" s="11"/>
      <c r="E58" s="12"/>
      <c r="F58" s="19"/>
      <c r="G58" s="20"/>
      <c r="H58" s="21"/>
    </row>
    <row r="59" spans="1:8" x14ac:dyDescent="0.3">
      <c r="A59" s="5"/>
      <c r="B59" s="10"/>
      <c r="C59" s="11"/>
      <c r="D59" s="11"/>
      <c r="E59" s="12"/>
      <c r="F59" s="19"/>
      <c r="G59" s="20"/>
      <c r="H59" s="21"/>
    </row>
    <row r="60" spans="1:8" x14ac:dyDescent="0.3">
      <c r="A60" s="6"/>
      <c r="B60" s="13"/>
      <c r="C60" s="14"/>
      <c r="D60" s="14"/>
      <c r="E60" s="15"/>
      <c r="F60" s="22"/>
      <c r="G60" s="23"/>
      <c r="H60" s="24"/>
    </row>
    <row r="61" spans="1:8" x14ac:dyDescent="0.3">
      <c r="A61" s="4" t="s">
        <v>69</v>
      </c>
      <c r="B61" s="7" t="s">
        <v>70</v>
      </c>
      <c r="C61" s="8"/>
      <c r="D61" s="8"/>
      <c r="E61" s="9"/>
      <c r="F61" s="16" t="str">
        <f>CONCATENATE(A61,"_LINK")</f>
        <v>INSURANCES_LINK</v>
      </c>
      <c r="G61" s="17"/>
      <c r="H61" s="18"/>
    </row>
    <row r="62" spans="1:8" x14ac:dyDescent="0.3">
      <c r="A62" s="5"/>
      <c r="B62" s="10"/>
      <c r="C62" s="11"/>
      <c r="D62" s="11"/>
      <c r="E62" s="12"/>
      <c r="F62" s="19"/>
      <c r="G62" s="20"/>
      <c r="H62" s="21"/>
    </row>
    <row r="63" spans="1:8" x14ac:dyDescent="0.3">
      <c r="A63" s="5"/>
      <c r="B63" s="10"/>
      <c r="C63" s="11"/>
      <c r="D63" s="11"/>
      <c r="E63" s="12"/>
      <c r="F63" s="19"/>
      <c r="G63" s="20"/>
      <c r="H63" s="21"/>
    </row>
    <row r="64" spans="1:8" x14ac:dyDescent="0.3">
      <c r="A64" s="6"/>
      <c r="B64" s="13"/>
      <c r="C64" s="14"/>
      <c r="D64" s="14"/>
      <c r="E64" s="15"/>
      <c r="F64" s="22"/>
      <c r="G64" s="23"/>
      <c r="H64" s="24"/>
    </row>
  </sheetData>
  <mergeCells count="67">
    <mergeCell ref="B12:H12"/>
    <mergeCell ref="A1:H1"/>
    <mergeCell ref="A2:H2"/>
    <mergeCell ref="B3:H3"/>
    <mergeCell ref="B4:H4"/>
    <mergeCell ref="B5:H5"/>
    <mergeCell ref="B6:H6"/>
    <mergeCell ref="B7:H7"/>
    <mergeCell ref="B8:H8"/>
    <mergeCell ref="A9:H9"/>
    <mergeCell ref="B10:H10"/>
    <mergeCell ref="B11:H11"/>
    <mergeCell ref="B13:H13"/>
    <mergeCell ref="B14:H14"/>
    <mergeCell ref="B15:H15"/>
    <mergeCell ref="A16:H16"/>
    <mergeCell ref="B17:E17"/>
    <mergeCell ref="F17:H17"/>
    <mergeCell ref="B21:E21"/>
    <mergeCell ref="F21:H21"/>
    <mergeCell ref="B22:E22"/>
    <mergeCell ref="F22:H22"/>
    <mergeCell ref="B18:E18"/>
    <mergeCell ref="F18:H18"/>
    <mergeCell ref="B19:E19"/>
    <mergeCell ref="F19:H19"/>
    <mergeCell ref="B20:E20"/>
    <mergeCell ref="F20:H20"/>
    <mergeCell ref="B23:E23"/>
    <mergeCell ref="F23:H23"/>
    <mergeCell ref="B24:E24"/>
    <mergeCell ref="F24:H24"/>
    <mergeCell ref="B25:E25"/>
    <mergeCell ref="F25:H25"/>
    <mergeCell ref="B26:E26"/>
    <mergeCell ref="F26:H26"/>
    <mergeCell ref="B27:E27"/>
    <mergeCell ref="F27:H27"/>
    <mergeCell ref="B28:E28"/>
    <mergeCell ref="F28:H28"/>
    <mergeCell ref="A29:A32"/>
    <mergeCell ref="B29:E32"/>
    <mergeCell ref="F29:H32"/>
    <mergeCell ref="A33:A36"/>
    <mergeCell ref="B33:E36"/>
    <mergeCell ref="F33:H36"/>
    <mergeCell ref="A37:A40"/>
    <mergeCell ref="B37:E40"/>
    <mergeCell ref="F37:H40"/>
    <mergeCell ref="F41:H44"/>
    <mergeCell ref="B41:E44"/>
    <mergeCell ref="A41:A44"/>
    <mergeCell ref="F45:H48"/>
    <mergeCell ref="B45:E48"/>
    <mergeCell ref="A45:A48"/>
    <mergeCell ref="A49:A52"/>
    <mergeCell ref="B49:E52"/>
    <mergeCell ref="F49:H52"/>
    <mergeCell ref="A61:A64"/>
    <mergeCell ref="B61:E64"/>
    <mergeCell ref="F61:H64"/>
    <mergeCell ref="F53:H56"/>
    <mergeCell ref="B53:E56"/>
    <mergeCell ref="A53:A56"/>
    <mergeCell ref="A57:A60"/>
    <mergeCell ref="B57:E60"/>
    <mergeCell ref="F57:H60"/>
  </mergeCells>
  <phoneticPr fontId="10" type="noConversion"/>
  <hyperlinks>
    <hyperlink ref="F18:H18" location="PATIENTS!A1" display="PATIENTS!A1" xr:uid="{882B686B-2136-4D3F-9A99-2508716F2006}"/>
    <hyperlink ref="F19:H19" location="DOCTORS!A1" display="DOCTORS!A1" xr:uid="{61ACBA8F-95C2-4182-8507-29590BF448A8}"/>
    <hyperlink ref="F20:H20" location="APPOINTMENTS!A1" display="APPOINTMENTS!A1" xr:uid="{46D8409B-0EE2-4D9F-A30D-70984AC46036}"/>
    <hyperlink ref="F22:H22" location="MEDICATIONS!A1" display="MEDICATIONS!A1" xr:uid="{05D60F14-060B-4126-B0F6-F01563DFEF33}"/>
    <hyperlink ref="F23:H23" location="USERS!A1" display="USERS!A1" xr:uid="{F6E6BB66-E89B-48E8-837D-C9D05F88C6B1}"/>
    <hyperlink ref="F24:H24" location="ROLES!A1" display="ROLES!A1" xr:uid="{89FD4507-7DB0-4F9C-9049-A1FE94CD761C}"/>
    <hyperlink ref="F28:H28" location="ROOMS!A1" display="ROOMS!A1" xr:uid="{36011AEC-82CE-42F7-856B-D85878931BD4}"/>
    <hyperlink ref="F26:H26" location="DEPARTMENTS!A1" display="DEPARTMENTS!A1" xr:uid="{817B9D6D-8DFA-4512-B3C2-9ACCF628508E}"/>
    <hyperlink ref="F27:H27" location="SPECIALTIES!A1" display="SPECIALTIES!A1" xr:uid="{A0C10068-7030-41D9-A619-F5AEABDA450B}"/>
    <hyperlink ref="F25:H25" location="USER_ROLES!A1" display="USER_ROLES!A1" xr:uid="{FDA18B63-478D-492D-9CFE-FEC8D602EE0D}"/>
    <hyperlink ref="F29:H32" location="ROOM_TYPES!A1" display="ROOM_TYPES!A1" xr:uid="{B0E39EB8-3109-4A2A-9887-7DEC11438EB3}"/>
    <hyperlink ref="F33:H36" location="ROOM_ASSIGNMENTS!A1" display="ROOM_ASSIGNMENTS!A1" xr:uid="{1644BFCB-D6DE-4E8A-9163-9E6433AC9500}"/>
    <hyperlink ref="F37:H40" location="PRESCRIPTIONS!A1" display="PRESCRIPTIONS!A1" xr:uid="{B67A6AA4-C07C-4F7C-88AA-E2ABED53DDA5}"/>
    <hyperlink ref="F41:H44" location="MEDICAL_RECORD_DETAILS!A1" display="MEDICAL_RECORD_DETAILS!A1" xr:uid="{0903AFAA-6701-4DDC-84A9-855C34BD3C15}"/>
    <hyperlink ref="F45:H48" location="PERMISSIONS!A1" display="PERMISSIONS!A1" xr:uid="{0CAD7092-48F6-4E59-8D74-9E3A427D89F9}"/>
    <hyperlink ref="F49:H52" location="STATUS_CODES!A1" display="STATUS_CODES!A1" xr:uid="{C31530E6-DB45-47CE-BAF7-013180A67AB5}"/>
    <hyperlink ref="F53:H56" location="BILLING!A1" display="BILLING!A1" xr:uid="{16E70E37-DD7D-4AAE-8759-A30FC690FEFA}"/>
    <hyperlink ref="F57:H60" location="PAYMENTS!A1" display="PAYMENTS!A1" xr:uid="{E8FC0510-54A5-4F1C-A7B4-5385D532BDD4}"/>
    <hyperlink ref="F61:H64" location="INSURANCES!A1" display="INSURANCES!A1" xr:uid="{931EED7A-69FB-4B3D-A4A7-3EF85DF415DB}"/>
    <hyperlink ref="F21:H21" location="MEDICAL_RECORDS!A1" display="MEDICAL_RECORDS!A1" xr:uid="{17C88CA9-E7E3-495D-A112-DB3902E08EB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E1DE-2E6B-4D76-A4C0-0D8B6B8F987A}">
  <sheetPr>
    <tabColor theme="3" tint="-0.249977111117893"/>
  </sheetPr>
  <dimension ref="A1:G12"/>
  <sheetViews>
    <sheetView workbookViewId="0">
      <selection activeCell="E21" sqref="E21"/>
    </sheetView>
  </sheetViews>
  <sheetFormatPr baseColWidth="10" defaultRowHeight="14.4" x14ac:dyDescent="0.3"/>
  <cols>
    <col min="1" max="1" width="16.5546875" style="39" bestFit="1" customWidth="1"/>
    <col min="2" max="3" width="11.5546875" style="39"/>
    <col min="4" max="4" width="22" style="39" customWidth="1"/>
    <col min="5" max="5" width="34.6640625" style="39" customWidth="1"/>
    <col min="6" max="6" width="24" style="39" customWidth="1"/>
    <col min="7" max="7" width="11.44140625" style="39" hidden="1" customWidth="1"/>
    <col min="8" max="16384" width="11.5546875" style="39"/>
  </cols>
  <sheetData>
    <row r="1" spans="1:7" ht="15" thickBot="1" x14ac:dyDescent="0.35">
      <c r="A1" s="55" t="s">
        <v>71</v>
      </c>
      <c r="B1" s="56" t="s">
        <v>72</v>
      </c>
      <c r="C1" s="56" t="s">
        <v>73</v>
      </c>
      <c r="D1" s="56" t="s">
        <v>74</v>
      </c>
      <c r="E1" s="57" t="s">
        <v>3</v>
      </c>
      <c r="F1" s="58"/>
      <c r="G1" s="59"/>
    </row>
    <row r="2" spans="1:7" x14ac:dyDescent="0.3">
      <c r="A2" s="60" t="s">
        <v>75</v>
      </c>
      <c r="B2" s="60" t="s">
        <v>76</v>
      </c>
      <c r="C2" s="60" t="s">
        <v>77</v>
      </c>
      <c r="D2" s="60" t="s">
        <v>78</v>
      </c>
      <c r="E2" s="60" t="s">
        <v>79</v>
      </c>
      <c r="G2" s="61"/>
    </row>
    <row r="3" spans="1:7" x14ac:dyDescent="0.3">
      <c r="A3" s="54" t="s">
        <v>80</v>
      </c>
      <c r="B3" s="54" t="s">
        <v>81</v>
      </c>
      <c r="C3" s="54">
        <v>100</v>
      </c>
      <c r="D3" s="54" t="s">
        <v>82</v>
      </c>
      <c r="E3" s="54" t="s">
        <v>83</v>
      </c>
      <c r="G3" s="61"/>
    </row>
    <row r="4" spans="1:7" x14ac:dyDescent="0.3">
      <c r="A4" s="54" t="s">
        <v>84</v>
      </c>
      <c r="B4" s="54" t="s">
        <v>81</v>
      </c>
      <c r="C4" s="54">
        <v>100</v>
      </c>
      <c r="D4" s="54" t="s">
        <v>82</v>
      </c>
      <c r="E4" s="54" t="s">
        <v>85</v>
      </c>
      <c r="G4" s="61"/>
    </row>
    <row r="5" spans="1:7" x14ac:dyDescent="0.3">
      <c r="A5" s="54" t="s">
        <v>86</v>
      </c>
      <c r="B5" s="54" t="s">
        <v>87</v>
      </c>
      <c r="C5" s="54" t="s">
        <v>77</v>
      </c>
      <c r="D5" s="54" t="s">
        <v>82</v>
      </c>
      <c r="E5" s="54" t="s">
        <v>88</v>
      </c>
      <c r="G5" s="61"/>
    </row>
    <row r="6" spans="1:7" x14ac:dyDescent="0.3">
      <c r="A6" s="54" t="s">
        <v>89</v>
      </c>
      <c r="B6" s="54" t="s">
        <v>90</v>
      </c>
      <c r="C6" s="54">
        <v>1</v>
      </c>
      <c r="D6" s="54" t="s">
        <v>91</v>
      </c>
      <c r="E6" s="54" t="s">
        <v>92</v>
      </c>
      <c r="G6" s="61"/>
    </row>
    <row r="7" spans="1:7" x14ac:dyDescent="0.3">
      <c r="A7" s="54" t="s">
        <v>0</v>
      </c>
      <c r="B7" s="54" t="s">
        <v>76</v>
      </c>
      <c r="C7" s="54" t="s">
        <v>77</v>
      </c>
      <c r="D7" s="54" t="s">
        <v>93</v>
      </c>
      <c r="E7" s="54" t="s">
        <v>94</v>
      </c>
      <c r="G7" s="61"/>
    </row>
    <row r="8" spans="1:7" x14ac:dyDescent="0.3">
      <c r="A8" s="54" t="s">
        <v>95</v>
      </c>
      <c r="B8" s="54" t="s">
        <v>81</v>
      </c>
      <c r="C8" s="54">
        <v>20</v>
      </c>
      <c r="D8" s="54" t="s">
        <v>96</v>
      </c>
      <c r="E8" s="54" t="s">
        <v>97</v>
      </c>
      <c r="G8" s="61"/>
    </row>
    <row r="9" spans="1:7" x14ac:dyDescent="0.3">
      <c r="A9" s="54" t="s">
        <v>98</v>
      </c>
      <c r="B9" s="54" t="s">
        <v>76</v>
      </c>
      <c r="C9" s="54" t="s">
        <v>77</v>
      </c>
      <c r="D9" s="54" t="s">
        <v>93</v>
      </c>
      <c r="E9" s="54" t="s">
        <v>99</v>
      </c>
      <c r="G9" s="61"/>
    </row>
    <row r="10" spans="1:7" x14ac:dyDescent="0.3">
      <c r="A10" s="54" t="s">
        <v>100</v>
      </c>
      <c r="B10" s="54" t="s">
        <v>76</v>
      </c>
      <c r="C10" s="54" t="s">
        <v>77</v>
      </c>
      <c r="D10" s="54" t="s">
        <v>93</v>
      </c>
      <c r="E10" s="54" t="s">
        <v>101</v>
      </c>
      <c r="G10" s="61"/>
    </row>
    <row r="11" spans="1:7" x14ac:dyDescent="0.3">
      <c r="A11" s="54" t="s">
        <v>102</v>
      </c>
      <c r="B11" s="54" t="s">
        <v>87</v>
      </c>
      <c r="C11" s="54" t="s">
        <v>77</v>
      </c>
      <c r="D11" s="54" t="s">
        <v>103</v>
      </c>
      <c r="E11" s="54" t="s">
        <v>104</v>
      </c>
      <c r="G11" s="61"/>
    </row>
    <row r="12" spans="1:7" ht="15" thickBot="1" x14ac:dyDescent="0.35">
      <c r="A12" s="54"/>
      <c r="B12" s="54"/>
      <c r="C12" s="54"/>
      <c r="D12" s="54"/>
      <c r="E12" s="54"/>
      <c r="F12" s="49"/>
      <c r="G12" s="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811D-7643-4EFC-9BB9-48BB41D39F62}">
  <sheetPr>
    <tabColor theme="4" tint="0.59999389629810485"/>
  </sheetPr>
  <dimension ref="A1:E9"/>
  <sheetViews>
    <sheetView workbookViewId="0">
      <selection activeCell="F22" sqref="F22"/>
    </sheetView>
  </sheetViews>
  <sheetFormatPr baseColWidth="10" defaultRowHeight="14.4" x14ac:dyDescent="0.3"/>
  <cols>
    <col min="1" max="3" width="11.5546875" style="39"/>
    <col min="4" max="4" width="15.6640625" style="39" customWidth="1"/>
    <col min="5" max="5" width="32.332031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105</v>
      </c>
      <c r="B2" s="54" t="s">
        <v>76</v>
      </c>
      <c r="C2" s="54" t="s">
        <v>77</v>
      </c>
      <c r="D2" s="54" t="s">
        <v>78</v>
      </c>
      <c r="E2" s="54" t="s">
        <v>106</v>
      </c>
    </row>
    <row r="3" spans="1:5" x14ac:dyDescent="0.3">
      <c r="A3" s="54" t="s">
        <v>80</v>
      </c>
      <c r="B3" s="54" t="s">
        <v>81</v>
      </c>
      <c r="C3" s="54">
        <v>100</v>
      </c>
      <c r="D3" s="54" t="s">
        <v>82</v>
      </c>
      <c r="E3" s="54" t="s">
        <v>107</v>
      </c>
    </row>
    <row r="4" spans="1:5" x14ac:dyDescent="0.3">
      <c r="A4" s="54" t="s">
        <v>84</v>
      </c>
      <c r="B4" s="54" t="s">
        <v>81</v>
      </c>
      <c r="C4" s="54">
        <v>100</v>
      </c>
      <c r="D4" s="54" t="s">
        <v>82</v>
      </c>
      <c r="E4" s="54" t="s">
        <v>108</v>
      </c>
    </row>
    <row r="5" spans="1:5" x14ac:dyDescent="0.3">
      <c r="A5" s="54" t="s">
        <v>109</v>
      </c>
      <c r="B5" s="54" t="s">
        <v>81</v>
      </c>
      <c r="C5" s="54">
        <v>150</v>
      </c>
      <c r="D5" s="54" t="s">
        <v>82</v>
      </c>
      <c r="E5" s="54" t="s">
        <v>110</v>
      </c>
    </row>
    <row r="6" spans="1:5" x14ac:dyDescent="0.3">
      <c r="A6" s="54" t="s">
        <v>111</v>
      </c>
      <c r="B6" s="54" t="s">
        <v>81</v>
      </c>
      <c r="C6" s="54">
        <v>20</v>
      </c>
      <c r="D6" s="54"/>
      <c r="E6" s="54" t="s">
        <v>112</v>
      </c>
    </row>
    <row r="7" spans="1:5" x14ac:dyDescent="0.3">
      <c r="A7" s="54" t="s">
        <v>113</v>
      </c>
      <c r="B7" s="54" t="s">
        <v>81</v>
      </c>
      <c r="C7" s="54">
        <v>255</v>
      </c>
      <c r="D7" s="54"/>
      <c r="E7" s="54" t="s">
        <v>114</v>
      </c>
    </row>
    <row r="8" spans="1:5" x14ac:dyDescent="0.3">
      <c r="A8" s="54" t="s">
        <v>115</v>
      </c>
      <c r="B8" s="54" t="s">
        <v>87</v>
      </c>
      <c r="C8" s="54" t="s">
        <v>77</v>
      </c>
      <c r="D8" s="54"/>
      <c r="E8" s="54" t="s">
        <v>116</v>
      </c>
    </row>
    <row r="9" spans="1:5" x14ac:dyDescent="0.3">
      <c r="A9" s="54" t="s">
        <v>117</v>
      </c>
      <c r="B9" s="54" t="s">
        <v>81</v>
      </c>
      <c r="C9" s="54">
        <v>50</v>
      </c>
      <c r="D9" s="54" t="s">
        <v>118</v>
      </c>
      <c r="E9" s="54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E9E3-B445-4AE5-A87B-F3F445023221}">
  <sheetPr>
    <tabColor theme="3" tint="0.39997558519241921"/>
  </sheetPr>
  <dimension ref="A1:E7"/>
  <sheetViews>
    <sheetView workbookViewId="0">
      <selection activeCell="F13" sqref="F13"/>
    </sheetView>
  </sheetViews>
  <sheetFormatPr baseColWidth="10" defaultRowHeight="14.4" x14ac:dyDescent="0.3"/>
  <cols>
    <col min="1" max="1" width="17.44140625" style="39" customWidth="1"/>
    <col min="2" max="3" width="11.5546875" style="39"/>
    <col min="4" max="4" width="22.21875" style="39" customWidth="1"/>
    <col min="5" max="5" width="34.332031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120</v>
      </c>
      <c r="B2" s="54" t="s">
        <v>76</v>
      </c>
      <c r="C2" s="54" t="s">
        <v>77</v>
      </c>
      <c r="D2" s="54" t="s">
        <v>78</v>
      </c>
      <c r="E2" s="54" t="s">
        <v>121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93</v>
      </c>
      <c r="E3" s="54" t="s">
        <v>122</v>
      </c>
    </row>
    <row r="4" spans="1:5" x14ac:dyDescent="0.3">
      <c r="A4" s="54" t="s">
        <v>2</v>
      </c>
      <c r="B4" s="54" t="s">
        <v>76</v>
      </c>
      <c r="C4" s="54" t="s">
        <v>77</v>
      </c>
      <c r="D4" s="54" t="s">
        <v>93</v>
      </c>
      <c r="E4" s="54" t="s">
        <v>123</v>
      </c>
    </row>
    <row r="5" spans="1:5" x14ac:dyDescent="0.3">
      <c r="A5" s="54" t="s">
        <v>124</v>
      </c>
      <c r="B5" s="54" t="s">
        <v>125</v>
      </c>
      <c r="C5" s="54" t="s">
        <v>77</v>
      </c>
      <c r="D5" s="54" t="s">
        <v>82</v>
      </c>
      <c r="E5" s="54" t="s">
        <v>126</v>
      </c>
    </row>
    <row r="6" spans="1:5" x14ac:dyDescent="0.3">
      <c r="A6" s="54" t="s">
        <v>127</v>
      </c>
      <c r="B6" s="54" t="s">
        <v>128</v>
      </c>
      <c r="C6" s="54" t="s">
        <v>77</v>
      </c>
      <c r="D6" s="54"/>
      <c r="E6" s="54" t="s">
        <v>129</v>
      </c>
    </row>
    <row r="7" spans="1:5" x14ac:dyDescent="0.3">
      <c r="A7" s="54" t="s">
        <v>117</v>
      </c>
      <c r="B7" s="54" t="s">
        <v>81</v>
      </c>
      <c r="C7" s="54">
        <v>50</v>
      </c>
      <c r="D7" s="54" t="s">
        <v>130</v>
      </c>
      <c r="E7" s="5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3F8B8-0565-4853-B067-94C2DB4BAAA4}">
  <sheetPr>
    <tabColor theme="3" tint="0.39997558519241921"/>
  </sheetPr>
  <dimension ref="A1:E7"/>
  <sheetViews>
    <sheetView workbookViewId="0">
      <selection sqref="A1:XFD1048576"/>
    </sheetView>
  </sheetViews>
  <sheetFormatPr baseColWidth="10" defaultRowHeight="14.4" x14ac:dyDescent="0.3"/>
  <cols>
    <col min="1" max="4" width="11.5546875" style="39"/>
    <col min="5" max="5" width="33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132</v>
      </c>
      <c r="B2" s="54" t="s">
        <v>76</v>
      </c>
      <c r="C2" s="54" t="s">
        <v>77</v>
      </c>
      <c r="D2" s="54" t="s">
        <v>78</v>
      </c>
      <c r="E2" s="54" t="s">
        <v>133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93</v>
      </c>
      <c r="E3" s="54" t="s">
        <v>134</v>
      </c>
    </row>
    <row r="4" spans="1:5" x14ac:dyDescent="0.3">
      <c r="A4" s="54" t="s">
        <v>2</v>
      </c>
      <c r="B4" s="54" t="s">
        <v>76</v>
      </c>
      <c r="C4" s="54" t="s">
        <v>77</v>
      </c>
      <c r="D4" s="54" t="s">
        <v>93</v>
      </c>
      <c r="E4" s="54" t="s">
        <v>135</v>
      </c>
    </row>
    <row r="5" spans="1:5" x14ac:dyDescent="0.3">
      <c r="A5" s="54" t="s">
        <v>136</v>
      </c>
      <c r="B5" s="54" t="s">
        <v>125</v>
      </c>
      <c r="C5" s="54" t="s">
        <v>77</v>
      </c>
      <c r="D5" s="54" t="s">
        <v>82</v>
      </c>
      <c r="E5" s="54" t="s">
        <v>137</v>
      </c>
    </row>
    <row r="6" spans="1:5" x14ac:dyDescent="0.3">
      <c r="A6" s="54" t="s">
        <v>138</v>
      </c>
      <c r="B6" s="54" t="s">
        <v>128</v>
      </c>
      <c r="C6" s="54" t="s">
        <v>77</v>
      </c>
      <c r="D6" s="54"/>
      <c r="E6" s="54" t="s">
        <v>139</v>
      </c>
    </row>
    <row r="7" spans="1:5" x14ac:dyDescent="0.3">
      <c r="A7" s="54" t="s">
        <v>140</v>
      </c>
      <c r="B7" s="54" t="s">
        <v>128</v>
      </c>
      <c r="C7" s="54" t="s">
        <v>77</v>
      </c>
      <c r="D7" s="54"/>
      <c r="E7" s="54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CD75-021D-42F3-ACF6-C986B9D450B8}">
  <sheetPr>
    <tabColor theme="3" tint="0.39997558519241921"/>
  </sheetPr>
  <dimension ref="A1:E8"/>
  <sheetViews>
    <sheetView workbookViewId="0">
      <selection activeCell="D17" sqref="D17"/>
    </sheetView>
  </sheetViews>
  <sheetFormatPr baseColWidth="10" defaultRowHeight="14.4" x14ac:dyDescent="0.3"/>
  <cols>
    <col min="1" max="1" width="14.33203125" style="39" customWidth="1"/>
    <col min="2" max="4" width="11.5546875" style="39"/>
    <col min="5" max="5" width="40.10937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142</v>
      </c>
      <c r="B2" s="54" t="s">
        <v>76</v>
      </c>
      <c r="C2" s="54" t="s">
        <v>77</v>
      </c>
      <c r="D2" s="54" t="s">
        <v>78</v>
      </c>
      <c r="E2" s="54" t="s">
        <v>143</v>
      </c>
    </row>
    <row r="3" spans="1:5" x14ac:dyDescent="0.3">
      <c r="A3" s="54" t="s">
        <v>144</v>
      </c>
      <c r="B3" s="54" t="s">
        <v>81</v>
      </c>
      <c r="C3" s="54">
        <v>150</v>
      </c>
      <c r="D3" s="54" t="s">
        <v>82</v>
      </c>
      <c r="E3" s="54" t="s">
        <v>145</v>
      </c>
    </row>
    <row r="4" spans="1:5" x14ac:dyDescent="0.3">
      <c r="A4" s="54" t="s">
        <v>146</v>
      </c>
      <c r="B4" s="54" t="s">
        <v>128</v>
      </c>
      <c r="C4" s="54" t="s">
        <v>77</v>
      </c>
      <c r="D4" s="54"/>
      <c r="E4" s="54" t="s">
        <v>3</v>
      </c>
    </row>
    <row r="5" spans="1:5" x14ac:dyDescent="0.3">
      <c r="A5" s="54" t="s">
        <v>147</v>
      </c>
      <c r="B5" s="54" t="s">
        <v>81</v>
      </c>
      <c r="C5" s="54">
        <v>150</v>
      </c>
      <c r="D5" s="54"/>
      <c r="E5" s="54" t="s">
        <v>148</v>
      </c>
    </row>
    <row r="6" spans="1:5" x14ac:dyDescent="0.3">
      <c r="A6" s="54" t="s">
        <v>149</v>
      </c>
      <c r="B6" s="54" t="s">
        <v>81</v>
      </c>
      <c r="C6" s="54">
        <v>100</v>
      </c>
      <c r="D6" s="54"/>
      <c r="E6" s="54" t="s">
        <v>150</v>
      </c>
    </row>
    <row r="7" spans="1:5" x14ac:dyDescent="0.3">
      <c r="A7" s="54" t="s">
        <v>151</v>
      </c>
      <c r="B7" s="54" t="s">
        <v>76</v>
      </c>
      <c r="C7" s="54" t="s">
        <v>77</v>
      </c>
      <c r="D7" s="54"/>
      <c r="E7" s="54" t="s">
        <v>152</v>
      </c>
    </row>
    <row r="8" spans="1:5" x14ac:dyDescent="0.3">
      <c r="A8" s="54" t="s">
        <v>153</v>
      </c>
      <c r="B8" s="54" t="s">
        <v>87</v>
      </c>
      <c r="C8" s="54" t="s">
        <v>77</v>
      </c>
      <c r="D8" s="54"/>
      <c r="E8" s="54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EF5E-249E-4206-8E07-367A22571A79}">
  <sheetPr>
    <tabColor theme="3" tint="0.39997558519241921"/>
  </sheetPr>
  <dimension ref="A1:E7"/>
  <sheetViews>
    <sheetView workbookViewId="0">
      <selection activeCell="C13" sqref="C13"/>
    </sheetView>
  </sheetViews>
  <sheetFormatPr baseColWidth="10" defaultRowHeight="14.4" x14ac:dyDescent="0.3"/>
  <cols>
    <col min="1" max="1" width="20.21875" style="39" customWidth="1"/>
    <col min="2" max="4" width="11.5546875" style="39"/>
    <col min="5" max="5" width="35.554687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155</v>
      </c>
      <c r="B2" s="54" t="s">
        <v>76</v>
      </c>
      <c r="C2" s="54" t="s">
        <v>77</v>
      </c>
      <c r="D2" s="54" t="s">
        <v>78</v>
      </c>
      <c r="E2" s="54" t="s">
        <v>156</v>
      </c>
    </row>
    <row r="3" spans="1:5" x14ac:dyDescent="0.3">
      <c r="A3" s="54" t="s">
        <v>157</v>
      </c>
      <c r="B3" s="54" t="s">
        <v>81</v>
      </c>
      <c r="C3" s="54">
        <v>100</v>
      </c>
      <c r="D3" s="54" t="s">
        <v>82</v>
      </c>
      <c r="E3" s="54" t="s">
        <v>158</v>
      </c>
    </row>
    <row r="4" spans="1:5" x14ac:dyDescent="0.3">
      <c r="A4" s="54" t="s">
        <v>113</v>
      </c>
      <c r="B4" s="54" t="s">
        <v>81</v>
      </c>
      <c r="C4" s="54">
        <v>255</v>
      </c>
      <c r="D4" s="54" t="s">
        <v>82</v>
      </c>
      <c r="E4" s="54" t="s">
        <v>159</v>
      </c>
    </row>
    <row r="5" spans="1:5" x14ac:dyDescent="0.3">
      <c r="A5" s="54" t="s">
        <v>160</v>
      </c>
      <c r="B5" s="54" t="s">
        <v>81</v>
      </c>
      <c r="C5" s="54">
        <v>255</v>
      </c>
      <c r="D5" s="54" t="s">
        <v>82</v>
      </c>
      <c r="E5" s="54" t="s">
        <v>161</v>
      </c>
    </row>
    <row r="6" spans="1:5" x14ac:dyDescent="0.3">
      <c r="A6" s="54" t="s">
        <v>162</v>
      </c>
      <c r="B6" s="54" t="s">
        <v>76</v>
      </c>
      <c r="C6" s="54" t="s">
        <v>77</v>
      </c>
      <c r="D6" s="54"/>
      <c r="E6" s="54" t="s">
        <v>163</v>
      </c>
    </row>
    <row r="7" spans="1:5" x14ac:dyDescent="0.3">
      <c r="A7" s="54" t="s">
        <v>102</v>
      </c>
      <c r="B7" s="54" t="s">
        <v>87</v>
      </c>
      <c r="C7" s="54" t="s">
        <v>77</v>
      </c>
      <c r="D7" s="54" t="s">
        <v>82</v>
      </c>
      <c r="E7" s="54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D402-08BE-4F12-89B5-EC8DDA7DD6F4}">
  <dimension ref="A1:E4"/>
  <sheetViews>
    <sheetView workbookViewId="0">
      <selection activeCell="E12" sqref="E12"/>
    </sheetView>
  </sheetViews>
  <sheetFormatPr baseColWidth="10" defaultRowHeight="14.4" x14ac:dyDescent="0.3"/>
  <cols>
    <col min="1" max="1" width="14.5546875" style="39" customWidth="1"/>
    <col min="2" max="4" width="11.5546875" style="39"/>
    <col min="5" max="5" width="83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165</v>
      </c>
      <c r="B2" s="54" t="s">
        <v>76</v>
      </c>
      <c r="C2" s="54" t="s">
        <v>77</v>
      </c>
      <c r="D2" s="54" t="s">
        <v>78</v>
      </c>
      <c r="E2" s="54" t="s">
        <v>167</v>
      </c>
    </row>
    <row r="3" spans="1:5" x14ac:dyDescent="0.3">
      <c r="A3" s="54" t="s">
        <v>166</v>
      </c>
      <c r="B3" s="54" t="s">
        <v>81</v>
      </c>
      <c r="C3" s="54">
        <v>100</v>
      </c>
      <c r="D3" s="54" t="s">
        <v>82</v>
      </c>
      <c r="E3" s="54" t="s">
        <v>168</v>
      </c>
    </row>
    <row r="4" spans="1:5" x14ac:dyDescent="0.3">
      <c r="A4" s="54" t="s">
        <v>146</v>
      </c>
      <c r="B4" s="54" t="s">
        <v>81</v>
      </c>
      <c r="C4" s="54">
        <v>255</v>
      </c>
      <c r="D4" s="54" t="s">
        <v>169</v>
      </c>
      <c r="E4" s="54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889E-9C6A-4435-BAF6-140D6D863088}">
  <dimension ref="A1:E6"/>
  <sheetViews>
    <sheetView workbookViewId="0">
      <selection activeCell="C11" sqref="C11"/>
    </sheetView>
  </sheetViews>
  <sheetFormatPr baseColWidth="10" defaultRowHeight="14.4" x14ac:dyDescent="0.3"/>
  <cols>
    <col min="1" max="1" width="14.77734375" style="39" customWidth="1"/>
    <col min="2" max="3" width="11.5546875" style="39"/>
    <col min="4" max="4" width="17.109375" style="39" customWidth="1"/>
    <col min="5" max="5" width="68.554687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171</v>
      </c>
      <c r="B2" s="54" t="s">
        <v>76</v>
      </c>
      <c r="C2" s="54" t="s">
        <v>77</v>
      </c>
      <c r="D2" s="54" t="s">
        <v>78</v>
      </c>
      <c r="E2" s="54" t="s">
        <v>172</v>
      </c>
    </row>
    <row r="3" spans="1:5" x14ac:dyDescent="0.3">
      <c r="A3" s="54" t="s">
        <v>155</v>
      </c>
      <c r="B3" s="54" t="s">
        <v>76</v>
      </c>
      <c r="C3" s="54" t="s">
        <v>77</v>
      </c>
      <c r="D3" s="54" t="s">
        <v>93</v>
      </c>
      <c r="E3" s="54" t="s">
        <v>173</v>
      </c>
    </row>
    <row r="4" spans="1:5" x14ac:dyDescent="0.3">
      <c r="A4" s="54" t="s">
        <v>165</v>
      </c>
      <c r="B4" s="54" t="s">
        <v>76</v>
      </c>
      <c r="C4" s="54" t="s">
        <v>77</v>
      </c>
      <c r="D4" s="54" t="s">
        <v>93</v>
      </c>
      <c r="E4" s="54" t="s">
        <v>174</v>
      </c>
    </row>
    <row r="5" spans="1:5" x14ac:dyDescent="0.3">
      <c r="A5" s="54" t="s">
        <v>175</v>
      </c>
      <c r="B5" s="54" t="s">
        <v>87</v>
      </c>
      <c r="C5" s="54" t="s">
        <v>77</v>
      </c>
      <c r="D5" s="54" t="s">
        <v>82</v>
      </c>
      <c r="E5" s="54" t="s">
        <v>176</v>
      </c>
    </row>
    <row r="6" spans="1:5" x14ac:dyDescent="0.3">
      <c r="A6" s="54" t="s">
        <v>177</v>
      </c>
      <c r="B6" s="54" t="s">
        <v>178</v>
      </c>
      <c r="C6" s="54" t="s">
        <v>77</v>
      </c>
      <c r="D6" s="54" t="s">
        <v>179</v>
      </c>
      <c r="E6" s="54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39ED-E1EE-4ADA-A6C3-6DE5B5981907}">
  <dimension ref="A1:E6"/>
  <sheetViews>
    <sheetView workbookViewId="0">
      <selection activeCell="E13" sqref="E13"/>
    </sheetView>
  </sheetViews>
  <sheetFormatPr baseColWidth="10" defaultRowHeight="14.4" x14ac:dyDescent="0.3"/>
  <cols>
    <col min="1" max="1" width="18.6640625" style="39" customWidth="1"/>
    <col min="2" max="4" width="11.5546875" style="39"/>
    <col min="5" max="5" width="35.66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181</v>
      </c>
      <c r="B2" s="54" t="s">
        <v>76</v>
      </c>
      <c r="C2" s="54" t="s">
        <v>77</v>
      </c>
      <c r="D2" s="54" t="s">
        <v>78</v>
      </c>
      <c r="E2" s="54" t="s">
        <v>182</v>
      </c>
    </row>
    <row r="3" spans="1:5" x14ac:dyDescent="0.3">
      <c r="A3" s="54" t="s">
        <v>144</v>
      </c>
      <c r="B3" s="54" t="s">
        <v>81</v>
      </c>
      <c r="C3" s="54">
        <v>150</v>
      </c>
      <c r="D3" s="54" t="s">
        <v>82</v>
      </c>
      <c r="E3" s="54" t="s">
        <v>183</v>
      </c>
    </row>
    <row r="4" spans="1:5" x14ac:dyDescent="0.3">
      <c r="A4" s="54" t="s">
        <v>146</v>
      </c>
      <c r="B4" s="54" t="s">
        <v>128</v>
      </c>
      <c r="C4" s="54" t="s">
        <v>77</v>
      </c>
      <c r="D4" s="54"/>
      <c r="E4" s="54" t="s">
        <v>3</v>
      </c>
    </row>
    <row r="5" spans="1:5" x14ac:dyDescent="0.3">
      <c r="A5" s="54" t="s">
        <v>184</v>
      </c>
      <c r="B5" s="54" t="s">
        <v>81</v>
      </c>
      <c r="C5" s="54">
        <v>200</v>
      </c>
      <c r="D5" s="54"/>
      <c r="E5" s="54" t="s">
        <v>185</v>
      </c>
    </row>
    <row r="6" spans="1:5" x14ac:dyDescent="0.3">
      <c r="A6" s="54" t="s">
        <v>186</v>
      </c>
      <c r="B6" s="54" t="s">
        <v>76</v>
      </c>
      <c r="C6" s="54" t="s">
        <v>77</v>
      </c>
      <c r="D6" s="54" t="s">
        <v>93</v>
      </c>
      <c r="E6" s="54" t="s">
        <v>187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5F6B-B872-4694-A90F-A43F82EC80F4}">
  <dimension ref="A1:E4"/>
  <sheetViews>
    <sheetView workbookViewId="0">
      <selection activeCell="E9" sqref="E9"/>
    </sheetView>
  </sheetViews>
  <sheetFormatPr baseColWidth="10" defaultRowHeight="14.4" x14ac:dyDescent="0.3"/>
  <cols>
    <col min="1" max="1" width="15.33203125" style="39" customWidth="1"/>
    <col min="2" max="4" width="11.5546875" style="39"/>
    <col min="5" max="5" width="75.66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188</v>
      </c>
      <c r="B2" s="54" t="s">
        <v>189</v>
      </c>
      <c r="C2" s="54" t="s">
        <v>77</v>
      </c>
      <c r="D2" s="54" t="s">
        <v>78</v>
      </c>
      <c r="E2" s="54" t="s">
        <v>190</v>
      </c>
    </row>
    <row r="3" spans="1:5" x14ac:dyDescent="0.3">
      <c r="A3" s="54" t="s">
        <v>191</v>
      </c>
      <c r="B3" s="54" t="s">
        <v>81</v>
      </c>
      <c r="C3" s="54">
        <v>100</v>
      </c>
      <c r="D3" s="54" t="s">
        <v>192</v>
      </c>
      <c r="E3" s="54" t="s">
        <v>193</v>
      </c>
    </row>
    <row r="4" spans="1:5" x14ac:dyDescent="0.3">
      <c r="A4" s="54" t="s">
        <v>146</v>
      </c>
      <c r="B4" s="54" t="s">
        <v>128</v>
      </c>
      <c r="C4" s="54" t="s">
        <v>77</v>
      </c>
      <c r="D4" s="54" t="s">
        <v>169</v>
      </c>
      <c r="E4" s="54" t="s">
        <v>194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11EE-FADC-4A7B-8325-28E9EFE3BDD5}">
  <dimension ref="A1:E10"/>
  <sheetViews>
    <sheetView workbookViewId="0">
      <selection activeCell="D16" sqref="D16"/>
    </sheetView>
  </sheetViews>
  <sheetFormatPr baseColWidth="10" defaultRowHeight="14.4" x14ac:dyDescent="0.3"/>
  <cols>
    <col min="1" max="1" width="16.6640625" style="39" customWidth="1"/>
    <col min="2" max="3" width="11.5546875" style="39"/>
    <col min="4" max="4" width="22.5546875" style="39" customWidth="1"/>
    <col min="5" max="5" width="61.441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74</v>
      </c>
      <c r="E1" s="53" t="s">
        <v>3</v>
      </c>
    </row>
    <row r="2" spans="1:5" x14ac:dyDescent="0.3">
      <c r="A2" s="54" t="s">
        <v>195</v>
      </c>
      <c r="B2" s="54" t="s">
        <v>189</v>
      </c>
      <c r="C2" s="54" t="s">
        <v>77</v>
      </c>
      <c r="D2" s="54" t="s">
        <v>78</v>
      </c>
      <c r="E2" s="54" t="s">
        <v>196</v>
      </c>
    </row>
    <row r="3" spans="1:5" x14ac:dyDescent="0.3">
      <c r="A3" s="54" t="s">
        <v>197</v>
      </c>
      <c r="B3" s="54" t="s">
        <v>81</v>
      </c>
      <c r="C3" s="54">
        <v>10</v>
      </c>
      <c r="D3" s="54" t="s">
        <v>192</v>
      </c>
      <c r="E3" s="54" t="s">
        <v>198</v>
      </c>
    </row>
    <row r="4" spans="1:5" x14ac:dyDescent="0.3">
      <c r="A4" s="54" t="s">
        <v>199</v>
      </c>
      <c r="B4" s="54" t="s">
        <v>81</v>
      </c>
      <c r="C4" s="54">
        <v>50</v>
      </c>
      <c r="D4" s="54" t="s">
        <v>82</v>
      </c>
      <c r="E4" s="54" t="s">
        <v>200</v>
      </c>
    </row>
    <row r="5" spans="1:5" x14ac:dyDescent="0.3">
      <c r="A5" s="54" t="s">
        <v>201</v>
      </c>
      <c r="B5" s="54" t="s">
        <v>202</v>
      </c>
      <c r="C5" s="54" t="s">
        <v>77</v>
      </c>
      <c r="D5" s="54" t="s">
        <v>82</v>
      </c>
      <c r="E5" s="54" t="s">
        <v>203</v>
      </c>
    </row>
    <row r="6" spans="1:5" x14ac:dyDescent="0.3">
      <c r="A6" s="54" t="s">
        <v>204</v>
      </c>
      <c r="B6" s="54" t="s">
        <v>202</v>
      </c>
      <c r="C6" s="54" t="s">
        <v>77</v>
      </c>
      <c r="D6" s="54" t="s">
        <v>82</v>
      </c>
      <c r="E6" s="54" t="s">
        <v>205</v>
      </c>
    </row>
    <row r="7" spans="1:5" x14ac:dyDescent="0.3">
      <c r="A7" s="54" t="s">
        <v>206</v>
      </c>
      <c r="B7" s="54" t="s">
        <v>81</v>
      </c>
      <c r="C7" s="54">
        <v>20</v>
      </c>
      <c r="D7" s="54" t="s">
        <v>207</v>
      </c>
      <c r="E7" s="54" t="s">
        <v>208</v>
      </c>
    </row>
    <row r="8" spans="1:5" x14ac:dyDescent="0.3">
      <c r="A8" s="54" t="s">
        <v>98</v>
      </c>
      <c r="B8" s="54" t="s">
        <v>202</v>
      </c>
      <c r="C8" s="54" t="s">
        <v>77</v>
      </c>
      <c r="D8" s="54" t="s">
        <v>93</v>
      </c>
      <c r="E8" s="54" t="s">
        <v>209</v>
      </c>
    </row>
    <row r="9" spans="1:5" x14ac:dyDescent="0.3">
      <c r="A9" s="54" t="s">
        <v>138</v>
      </c>
      <c r="B9" s="54" t="s">
        <v>128</v>
      </c>
      <c r="C9" s="54" t="s">
        <v>77</v>
      </c>
      <c r="D9" s="54" t="s">
        <v>169</v>
      </c>
      <c r="E9" s="54" t="s">
        <v>210</v>
      </c>
    </row>
    <row r="10" spans="1:5" x14ac:dyDescent="0.3">
      <c r="A10" s="54"/>
      <c r="B10" s="54"/>
      <c r="C10" s="54"/>
      <c r="D10" s="54"/>
      <c r="E10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57DF-12DC-4214-8685-61598304D852}">
  <dimension ref="A1:M29"/>
  <sheetViews>
    <sheetView workbookViewId="0">
      <selection activeCell="D17" sqref="D17"/>
    </sheetView>
  </sheetViews>
  <sheetFormatPr baseColWidth="10" defaultRowHeight="14.4" x14ac:dyDescent="0.3"/>
  <cols>
    <col min="1" max="1" width="14.88671875" style="39" customWidth="1"/>
    <col min="2" max="3" width="11.5546875" style="39"/>
    <col min="4" max="4" width="30.88671875" style="39" customWidth="1"/>
    <col min="5" max="5" width="91.10937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213</v>
      </c>
      <c r="B2" s="54" t="s">
        <v>189</v>
      </c>
      <c r="C2" s="54" t="s">
        <v>77</v>
      </c>
      <c r="D2" s="54" t="s">
        <v>214</v>
      </c>
      <c r="E2" s="54" t="s">
        <v>215</v>
      </c>
    </row>
    <row r="3" spans="1:5" x14ac:dyDescent="0.3">
      <c r="A3" s="54" t="s">
        <v>144</v>
      </c>
      <c r="B3" s="54" t="s">
        <v>81</v>
      </c>
      <c r="C3" s="54">
        <v>50</v>
      </c>
      <c r="D3" s="54" t="s">
        <v>192</v>
      </c>
      <c r="E3" s="54" t="s">
        <v>216</v>
      </c>
    </row>
    <row r="4" spans="1:5" x14ac:dyDescent="0.3">
      <c r="A4" s="54" t="s">
        <v>146</v>
      </c>
      <c r="B4" s="54" t="s">
        <v>128</v>
      </c>
      <c r="C4" s="54" t="s">
        <v>77</v>
      </c>
      <c r="D4" s="54" t="s">
        <v>169</v>
      </c>
      <c r="E4" s="54" t="s">
        <v>217</v>
      </c>
    </row>
    <row r="5" spans="1:5" x14ac:dyDescent="0.3">
      <c r="A5" s="54" t="s">
        <v>218</v>
      </c>
      <c r="B5" s="54" t="s">
        <v>219</v>
      </c>
      <c r="C5" s="54">
        <v>-10.199999999999999</v>
      </c>
      <c r="D5" s="54" t="s">
        <v>82</v>
      </c>
      <c r="E5" s="54" t="s">
        <v>220</v>
      </c>
    </row>
    <row r="6" spans="1:5" x14ac:dyDescent="0.3">
      <c r="A6" s="54" t="s">
        <v>221</v>
      </c>
      <c r="B6" s="54" t="s">
        <v>128</v>
      </c>
      <c r="C6" s="54" t="s">
        <v>77</v>
      </c>
      <c r="D6" s="54" t="s">
        <v>169</v>
      </c>
      <c r="E6" s="54" t="s">
        <v>222</v>
      </c>
    </row>
    <row r="7" spans="1:5" x14ac:dyDescent="0.3">
      <c r="A7" s="54" t="s">
        <v>223</v>
      </c>
      <c r="B7" s="54" t="s">
        <v>224</v>
      </c>
      <c r="C7" s="54" t="s">
        <v>77</v>
      </c>
      <c r="D7" s="54" t="s">
        <v>225</v>
      </c>
      <c r="E7" s="54" t="s">
        <v>226</v>
      </c>
    </row>
    <row r="8" spans="1:5" x14ac:dyDescent="0.3">
      <c r="A8" s="54" t="s">
        <v>227</v>
      </c>
      <c r="B8" s="54" t="s">
        <v>224</v>
      </c>
      <c r="C8" s="54" t="s">
        <v>77</v>
      </c>
      <c r="D8" s="54" t="s">
        <v>225</v>
      </c>
      <c r="E8" s="54" t="s">
        <v>228</v>
      </c>
    </row>
    <row r="29" spans="13:13" x14ac:dyDescent="0.3">
      <c r="M29" s="39" t="s">
        <v>211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0DB7-BBC4-4275-A4BB-764DFD10EA1C}">
  <dimension ref="A1:E11"/>
  <sheetViews>
    <sheetView workbookViewId="0">
      <selection activeCell="E18" sqref="E18"/>
    </sheetView>
  </sheetViews>
  <sheetFormatPr baseColWidth="10" defaultRowHeight="14.4" x14ac:dyDescent="0.3"/>
  <cols>
    <col min="1" max="1" width="16.77734375" style="39" customWidth="1"/>
    <col min="2" max="3" width="11.5546875" style="39"/>
    <col min="4" max="4" width="28.88671875" style="39" customWidth="1"/>
    <col min="5" max="5" width="84.332031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229</v>
      </c>
      <c r="B2" s="54" t="s">
        <v>189</v>
      </c>
      <c r="C2" s="54" t="s">
        <v>77</v>
      </c>
      <c r="D2" s="54" t="s">
        <v>214</v>
      </c>
      <c r="E2" s="54" t="s">
        <v>230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231</v>
      </c>
      <c r="E3" s="54" t="s">
        <v>232</v>
      </c>
    </row>
    <row r="4" spans="1:5" x14ac:dyDescent="0.3">
      <c r="A4" s="54" t="s">
        <v>195</v>
      </c>
      <c r="B4" s="54" t="s">
        <v>76</v>
      </c>
      <c r="C4" s="54" t="s">
        <v>77</v>
      </c>
      <c r="D4" s="54" t="s">
        <v>231</v>
      </c>
      <c r="E4" s="54" t="s">
        <v>233</v>
      </c>
    </row>
    <row r="5" spans="1:5" x14ac:dyDescent="0.3">
      <c r="A5" s="54" t="s">
        <v>2</v>
      </c>
      <c r="B5" s="54" t="s">
        <v>76</v>
      </c>
      <c r="C5" s="54" t="s">
        <v>77</v>
      </c>
      <c r="D5" s="54" t="s">
        <v>234</v>
      </c>
      <c r="E5" s="54" t="s">
        <v>235</v>
      </c>
    </row>
    <row r="6" spans="1:5" x14ac:dyDescent="0.3">
      <c r="A6" s="54" t="s">
        <v>236</v>
      </c>
      <c r="B6" s="54" t="s">
        <v>87</v>
      </c>
      <c r="C6" s="54" t="s">
        <v>77</v>
      </c>
      <c r="D6" s="54" t="s">
        <v>82</v>
      </c>
      <c r="E6" s="54" t="s">
        <v>237</v>
      </c>
    </row>
    <row r="7" spans="1:5" x14ac:dyDescent="0.3">
      <c r="A7" s="54" t="s">
        <v>238</v>
      </c>
      <c r="B7" s="54" t="s">
        <v>87</v>
      </c>
      <c r="C7" s="54" t="s">
        <v>77</v>
      </c>
      <c r="D7" s="54" t="s">
        <v>169</v>
      </c>
      <c r="E7" s="54" t="s">
        <v>239</v>
      </c>
    </row>
    <row r="8" spans="1:5" x14ac:dyDescent="0.3">
      <c r="A8" s="54" t="s">
        <v>117</v>
      </c>
      <c r="B8" s="54" t="s">
        <v>81</v>
      </c>
      <c r="C8" s="54">
        <v>20</v>
      </c>
      <c r="D8" s="54" t="s">
        <v>82</v>
      </c>
      <c r="E8" s="54" t="s">
        <v>240</v>
      </c>
    </row>
    <row r="9" spans="1:5" x14ac:dyDescent="0.3">
      <c r="A9" s="54" t="s">
        <v>138</v>
      </c>
      <c r="B9" s="54" t="s">
        <v>128</v>
      </c>
      <c r="C9" s="54" t="s">
        <v>77</v>
      </c>
      <c r="D9" s="54" t="s">
        <v>169</v>
      </c>
      <c r="E9" s="54" t="s">
        <v>241</v>
      </c>
    </row>
    <row r="10" spans="1:5" x14ac:dyDescent="0.3">
      <c r="A10" s="54" t="s">
        <v>223</v>
      </c>
      <c r="B10" s="54" t="s">
        <v>224</v>
      </c>
      <c r="C10" s="54" t="s">
        <v>77</v>
      </c>
      <c r="D10" s="54" t="s">
        <v>225</v>
      </c>
      <c r="E10" s="54" t="s">
        <v>226</v>
      </c>
    </row>
    <row r="11" spans="1:5" x14ac:dyDescent="0.3">
      <c r="A11" s="54" t="s">
        <v>227</v>
      </c>
      <c r="B11" s="54" t="s">
        <v>224</v>
      </c>
      <c r="C11" s="54" t="s">
        <v>77</v>
      </c>
      <c r="D11" s="54" t="s">
        <v>225</v>
      </c>
      <c r="E11" s="54" t="s">
        <v>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BC81-8D79-415F-8F5F-6DE4950FCC58}">
  <dimension ref="A1:E14"/>
  <sheetViews>
    <sheetView workbookViewId="0">
      <selection activeCell="E20" sqref="E20"/>
    </sheetView>
  </sheetViews>
  <sheetFormatPr baseColWidth="10" defaultColWidth="18.44140625" defaultRowHeight="14.4" x14ac:dyDescent="0.3"/>
  <cols>
    <col min="1" max="3" width="18.44140625" style="39"/>
    <col min="4" max="4" width="32.77734375" style="39" customWidth="1"/>
    <col min="5" max="5" width="77.6640625" style="39" customWidth="1"/>
    <col min="6" max="16384" width="18.4414062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243</v>
      </c>
      <c r="B2" s="54" t="s">
        <v>189</v>
      </c>
      <c r="C2" s="54" t="s">
        <v>77</v>
      </c>
      <c r="D2" s="54" t="s">
        <v>214</v>
      </c>
      <c r="E2" s="54" t="s">
        <v>244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231</v>
      </c>
      <c r="E3" s="54" t="s">
        <v>245</v>
      </c>
    </row>
    <row r="4" spans="1:5" x14ac:dyDescent="0.3">
      <c r="A4" s="54" t="s">
        <v>2</v>
      </c>
      <c r="B4" s="54" t="s">
        <v>76</v>
      </c>
      <c r="C4" s="54" t="s">
        <v>77</v>
      </c>
      <c r="D4" s="54" t="s">
        <v>231</v>
      </c>
      <c r="E4" s="54" t="s">
        <v>246</v>
      </c>
    </row>
    <row r="5" spans="1:5" x14ac:dyDescent="0.3">
      <c r="A5" s="54" t="s">
        <v>247</v>
      </c>
      <c r="B5" s="54" t="s">
        <v>81</v>
      </c>
      <c r="C5" s="54">
        <v>150</v>
      </c>
      <c r="D5" s="54" t="s">
        <v>82</v>
      </c>
      <c r="E5" s="54" t="s">
        <v>248</v>
      </c>
    </row>
    <row r="6" spans="1:5" x14ac:dyDescent="0.3">
      <c r="A6" s="54" t="s">
        <v>149</v>
      </c>
      <c r="B6" s="54" t="s">
        <v>81</v>
      </c>
      <c r="C6" s="54">
        <v>100</v>
      </c>
      <c r="D6" s="54" t="s">
        <v>82</v>
      </c>
      <c r="E6" s="54" t="s">
        <v>249</v>
      </c>
    </row>
    <row r="7" spans="1:5" x14ac:dyDescent="0.3">
      <c r="A7" s="54" t="s">
        <v>250</v>
      </c>
      <c r="B7" s="54" t="s">
        <v>81</v>
      </c>
      <c r="C7" s="54">
        <v>100</v>
      </c>
      <c r="D7" s="54" t="s">
        <v>82</v>
      </c>
      <c r="E7" s="54" t="s">
        <v>251</v>
      </c>
    </row>
    <row r="8" spans="1:5" x14ac:dyDescent="0.3">
      <c r="A8" s="54" t="s">
        <v>252</v>
      </c>
      <c r="B8" s="54" t="s">
        <v>81</v>
      </c>
      <c r="C8" s="54">
        <v>50</v>
      </c>
      <c r="D8" s="54" t="s">
        <v>169</v>
      </c>
      <c r="E8" s="54" t="s">
        <v>253</v>
      </c>
    </row>
    <row r="9" spans="1:5" x14ac:dyDescent="0.3">
      <c r="A9" s="54" t="s">
        <v>254</v>
      </c>
      <c r="B9" s="54" t="s">
        <v>128</v>
      </c>
      <c r="C9" s="54" t="s">
        <v>77</v>
      </c>
      <c r="D9" s="54" t="s">
        <v>169</v>
      </c>
      <c r="E9" s="54" t="s">
        <v>255</v>
      </c>
    </row>
    <row r="10" spans="1:5" x14ac:dyDescent="0.3">
      <c r="A10" s="54" t="s">
        <v>256</v>
      </c>
      <c r="B10" s="54" t="s">
        <v>87</v>
      </c>
      <c r="C10" s="54" t="s">
        <v>77</v>
      </c>
      <c r="D10" s="54" t="s">
        <v>82</v>
      </c>
      <c r="E10" s="54" t="s">
        <v>257</v>
      </c>
    </row>
    <row r="11" spans="1:5" x14ac:dyDescent="0.3">
      <c r="A11" s="54" t="s">
        <v>153</v>
      </c>
      <c r="B11" s="54" t="s">
        <v>87</v>
      </c>
      <c r="C11" s="54" t="s">
        <v>77</v>
      </c>
      <c r="D11" s="54" t="s">
        <v>169</v>
      </c>
      <c r="E11" s="54" t="s">
        <v>258</v>
      </c>
    </row>
    <row r="12" spans="1:5" x14ac:dyDescent="0.3">
      <c r="A12" s="54" t="s">
        <v>117</v>
      </c>
      <c r="B12" s="54" t="s">
        <v>81</v>
      </c>
      <c r="C12" s="54">
        <v>20</v>
      </c>
      <c r="D12" s="54" t="s">
        <v>259</v>
      </c>
      <c r="E12" s="54" t="s">
        <v>260</v>
      </c>
    </row>
    <row r="13" spans="1:5" x14ac:dyDescent="0.3">
      <c r="A13" s="54" t="s">
        <v>223</v>
      </c>
      <c r="B13" s="54" t="s">
        <v>224</v>
      </c>
      <c r="C13" s="54" t="s">
        <v>77</v>
      </c>
      <c r="D13" s="54" t="s">
        <v>225</v>
      </c>
      <c r="E13" s="54" t="s">
        <v>226</v>
      </c>
    </row>
    <row r="14" spans="1:5" x14ac:dyDescent="0.3">
      <c r="A14" s="54" t="s">
        <v>227</v>
      </c>
      <c r="B14" s="54" t="s">
        <v>224</v>
      </c>
      <c r="C14" s="54" t="s">
        <v>77</v>
      </c>
      <c r="D14" s="54" t="s">
        <v>225</v>
      </c>
      <c r="E14" s="54" t="s">
        <v>242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D5C0-5284-4B3C-B0A8-91ACBD268E1B}">
  <dimension ref="A1:E12"/>
  <sheetViews>
    <sheetView workbookViewId="0">
      <selection activeCell="B17" sqref="B17"/>
    </sheetView>
  </sheetViews>
  <sheetFormatPr baseColWidth="10" defaultRowHeight="14.4" x14ac:dyDescent="0.3"/>
  <cols>
    <col min="1" max="1" width="19.44140625" style="39" customWidth="1"/>
    <col min="2" max="3" width="11.5546875" style="39"/>
    <col min="4" max="4" width="29.5546875" style="39" customWidth="1"/>
    <col min="5" max="5" width="71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261</v>
      </c>
      <c r="B2" s="54" t="s">
        <v>189</v>
      </c>
      <c r="C2" s="54" t="s">
        <v>77</v>
      </c>
      <c r="D2" s="54" t="s">
        <v>214</v>
      </c>
      <c r="E2" s="54" t="s">
        <v>262</v>
      </c>
    </row>
    <row r="3" spans="1:5" x14ac:dyDescent="0.3">
      <c r="A3" s="54" t="s">
        <v>263</v>
      </c>
      <c r="B3" s="54" t="s">
        <v>76</v>
      </c>
      <c r="C3" s="54" t="s">
        <v>77</v>
      </c>
      <c r="D3" s="54" t="s">
        <v>231</v>
      </c>
      <c r="E3" s="54" t="s">
        <v>264</v>
      </c>
    </row>
    <row r="4" spans="1:5" x14ac:dyDescent="0.3">
      <c r="A4" s="54" t="s">
        <v>2</v>
      </c>
      <c r="B4" s="54" t="s">
        <v>76</v>
      </c>
      <c r="C4" s="54" t="s">
        <v>77</v>
      </c>
      <c r="D4" s="54" t="s">
        <v>231</v>
      </c>
      <c r="E4" s="54" t="s">
        <v>265</v>
      </c>
    </row>
    <row r="5" spans="1:5" x14ac:dyDescent="0.3">
      <c r="A5" s="54" t="s">
        <v>266</v>
      </c>
      <c r="B5" s="54" t="s">
        <v>87</v>
      </c>
      <c r="C5" s="54" t="s">
        <v>77</v>
      </c>
      <c r="D5" s="54" t="s">
        <v>82</v>
      </c>
      <c r="E5" s="54" t="s">
        <v>267</v>
      </c>
    </row>
    <row r="6" spans="1:5" x14ac:dyDescent="0.3">
      <c r="A6" s="54" t="s">
        <v>268</v>
      </c>
      <c r="B6" s="54" t="s">
        <v>128</v>
      </c>
      <c r="C6" s="54" t="s">
        <v>77</v>
      </c>
      <c r="D6" s="54" t="s">
        <v>82</v>
      </c>
      <c r="E6" s="54" t="s">
        <v>269</v>
      </c>
    </row>
    <row r="7" spans="1:5" x14ac:dyDescent="0.3">
      <c r="A7" s="54" t="s">
        <v>270</v>
      </c>
      <c r="B7" s="54" t="s">
        <v>128</v>
      </c>
      <c r="C7" s="54" t="s">
        <v>77</v>
      </c>
      <c r="D7" s="54" t="s">
        <v>169</v>
      </c>
      <c r="E7" s="54" t="s">
        <v>271</v>
      </c>
    </row>
    <row r="8" spans="1:5" x14ac:dyDescent="0.3">
      <c r="A8" s="54" t="s">
        <v>243</v>
      </c>
      <c r="B8" s="54" t="s">
        <v>76</v>
      </c>
      <c r="C8" s="54" t="s">
        <v>77</v>
      </c>
      <c r="D8" s="54" t="s">
        <v>234</v>
      </c>
      <c r="E8" s="54" t="s">
        <v>272</v>
      </c>
    </row>
    <row r="9" spans="1:5" x14ac:dyDescent="0.3">
      <c r="A9" s="54" t="s">
        <v>138</v>
      </c>
      <c r="B9" s="54" t="s">
        <v>128</v>
      </c>
      <c r="C9" s="54" t="s">
        <v>77</v>
      </c>
      <c r="D9" s="54" t="s">
        <v>169</v>
      </c>
      <c r="E9" s="54" t="s">
        <v>273</v>
      </c>
    </row>
    <row r="10" spans="1:5" x14ac:dyDescent="0.3">
      <c r="A10" s="54" t="s">
        <v>274</v>
      </c>
      <c r="B10" s="54" t="s">
        <v>87</v>
      </c>
      <c r="C10" s="54" t="s">
        <v>77</v>
      </c>
      <c r="D10" s="54" t="s">
        <v>169</v>
      </c>
      <c r="E10" s="54" t="s">
        <v>275</v>
      </c>
    </row>
    <row r="11" spans="1:5" x14ac:dyDescent="0.3">
      <c r="A11" s="54" t="s">
        <v>223</v>
      </c>
      <c r="B11" s="54" t="s">
        <v>224</v>
      </c>
      <c r="C11" s="54" t="s">
        <v>77</v>
      </c>
      <c r="D11" s="54" t="s">
        <v>225</v>
      </c>
      <c r="E11" s="54" t="s">
        <v>226</v>
      </c>
    </row>
    <row r="12" spans="1:5" x14ac:dyDescent="0.3">
      <c r="A12" s="54" t="s">
        <v>227</v>
      </c>
      <c r="B12" s="54" t="s">
        <v>224</v>
      </c>
      <c r="C12" s="54" t="s">
        <v>77</v>
      </c>
      <c r="D12" s="54" t="s">
        <v>225</v>
      </c>
      <c r="E12" s="54" t="s">
        <v>276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EE53-C10E-4F77-9E8D-8383DDA78ECC}">
  <dimension ref="A1:E11"/>
  <sheetViews>
    <sheetView workbookViewId="0">
      <selection activeCell="D17" sqref="D17"/>
    </sheetView>
  </sheetViews>
  <sheetFormatPr baseColWidth="10" defaultRowHeight="14.4" x14ac:dyDescent="0.3"/>
  <cols>
    <col min="1" max="1" width="21" style="39" customWidth="1"/>
    <col min="2" max="3" width="11.5546875" style="39"/>
    <col min="4" max="4" width="38.77734375" style="39" customWidth="1"/>
    <col min="5" max="5" width="79.441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277</v>
      </c>
      <c r="B2" s="54" t="s">
        <v>189</v>
      </c>
      <c r="C2" s="54" t="s">
        <v>77</v>
      </c>
      <c r="D2" s="54" t="s">
        <v>214</v>
      </c>
      <c r="E2" s="54" t="s">
        <v>278</v>
      </c>
    </row>
    <row r="3" spans="1:5" x14ac:dyDescent="0.3">
      <c r="A3" s="54" t="s">
        <v>279</v>
      </c>
      <c r="B3" s="54" t="s">
        <v>76</v>
      </c>
      <c r="C3" s="54" t="s">
        <v>77</v>
      </c>
      <c r="D3" s="54" t="s">
        <v>231</v>
      </c>
      <c r="E3" s="54" t="s">
        <v>280</v>
      </c>
    </row>
    <row r="4" spans="1:5" x14ac:dyDescent="0.3">
      <c r="A4" s="54" t="s">
        <v>281</v>
      </c>
      <c r="B4" s="54" t="s">
        <v>81</v>
      </c>
      <c r="C4" s="54">
        <v>50</v>
      </c>
      <c r="D4" s="54" t="s">
        <v>82</v>
      </c>
      <c r="E4" s="54" t="s">
        <v>282</v>
      </c>
    </row>
    <row r="5" spans="1:5" x14ac:dyDescent="0.3">
      <c r="A5" s="54" t="s">
        <v>283</v>
      </c>
      <c r="B5" s="54" t="s">
        <v>76</v>
      </c>
      <c r="C5" s="54" t="s">
        <v>77</v>
      </c>
      <c r="D5" s="54" t="s">
        <v>284</v>
      </c>
      <c r="E5" s="54" t="s">
        <v>285</v>
      </c>
    </row>
    <row r="6" spans="1:5" x14ac:dyDescent="0.3">
      <c r="A6" s="54" t="s">
        <v>286</v>
      </c>
      <c r="B6" s="54" t="s">
        <v>81</v>
      </c>
      <c r="C6" s="54">
        <v>20</v>
      </c>
      <c r="D6" s="54" t="s">
        <v>82</v>
      </c>
      <c r="E6" s="54" t="s">
        <v>287</v>
      </c>
    </row>
    <row r="7" spans="1:5" x14ac:dyDescent="0.3">
      <c r="A7" s="54" t="s">
        <v>288</v>
      </c>
      <c r="B7" s="54" t="s">
        <v>76</v>
      </c>
      <c r="C7" s="54" t="s">
        <v>77</v>
      </c>
      <c r="D7" s="54" t="s">
        <v>234</v>
      </c>
      <c r="E7" s="54" t="s">
        <v>289</v>
      </c>
    </row>
    <row r="8" spans="1:5" x14ac:dyDescent="0.3">
      <c r="A8" s="54" t="s">
        <v>290</v>
      </c>
      <c r="B8" s="54" t="s">
        <v>224</v>
      </c>
      <c r="C8" s="54" t="s">
        <v>77</v>
      </c>
      <c r="D8" s="54" t="s">
        <v>225</v>
      </c>
      <c r="E8" s="54" t="s">
        <v>291</v>
      </c>
    </row>
    <row r="9" spans="1:5" x14ac:dyDescent="0.3">
      <c r="A9" s="54" t="s">
        <v>292</v>
      </c>
      <c r="B9" s="54" t="s">
        <v>224</v>
      </c>
      <c r="C9" s="54" t="s">
        <v>77</v>
      </c>
      <c r="D9" s="54" t="s">
        <v>169</v>
      </c>
      <c r="E9" s="54" t="s">
        <v>293</v>
      </c>
    </row>
    <row r="10" spans="1:5" x14ac:dyDescent="0.3">
      <c r="A10" s="54" t="s">
        <v>138</v>
      </c>
      <c r="B10" s="54" t="s">
        <v>128</v>
      </c>
      <c r="C10" s="54" t="s">
        <v>77</v>
      </c>
      <c r="D10" s="54" t="s">
        <v>169</v>
      </c>
      <c r="E10" s="54" t="s">
        <v>294</v>
      </c>
    </row>
    <row r="11" spans="1:5" x14ac:dyDescent="0.3">
      <c r="A11" s="54" t="s">
        <v>227</v>
      </c>
      <c r="B11" s="54" t="s">
        <v>224</v>
      </c>
      <c r="C11" s="54" t="s">
        <v>77</v>
      </c>
      <c r="D11" s="54" t="s">
        <v>225</v>
      </c>
      <c r="E11" s="54" t="s">
        <v>295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CEEE8-AA95-4F20-913F-297952E727DF}">
  <dimension ref="A1:E9"/>
  <sheetViews>
    <sheetView workbookViewId="0">
      <selection activeCell="E13" sqref="E13"/>
    </sheetView>
  </sheetViews>
  <sheetFormatPr baseColWidth="10" defaultRowHeight="14.4" x14ac:dyDescent="0.3"/>
  <cols>
    <col min="1" max="1" width="19.5546875" style="39" customWidth="1"/>
    <col min="2" max="2" width="13" style="39" customWidth="1"/>
    <col min="3" max="3" width="12.44140625" style="39" customWidth="1"/>
    <col min="4" max="4" width="39.21875" style="39" customWidth="1"/>
    <col min="5" max="5" width="91.332031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296</v>
      </c>
      <c r="B2" s="54" t="s">
        <v>189</v>
      </c>
      <c r="C2" s="54" t="s">
        <v>77</v>
      </c>
      <c r="D2" s="54" t="s">
        <v>214</v>
      </c>
      <c r="E2" s="54" t="s">
        <v>297</v>
      </c>
    </row>
    <row r="3" spans="1:5" x14ac:dyDescent="0.3">
      <c r="A3" s="54" t="s">
        <v>298</v>
      </c>
      <c r="B3" s="54" t="s">
        <v>81</v>
      </c>
      <c r="C3" s="54">
        <v>20</v>
      </c>
      <c r="D3" s="54" t="s">
        <v>299</v>
      </c>
      <c r="E3" s="54" t="s">
        <v>300</v>
      </c>
    </row>
    <row r="4" spans="1:5" x14ac:dyDescent="0.3">
      <c r="A4" s="54" t="s">
        <v>146</v>
      </c>
      <c r="B4" s="54" t="s">
        <v>81</v>
      </c>
      <c r="C4" s="54">
        <v>200</v>
      </c>
      <c r="D4" s="54" t="s">
        <v>82</v>
      </c>
      <c r="E4" s="54" t="s">
        <v>301</v>
      </c>
    </row>
    <row r="5" spans="1:5" x14ac:dyDescent="0.3">
      <c r="A5" s="54" t="s">
        <v>302</v>
      </c>
      <c r="B5" s="54" t="s">
        <v>81</v>
      </c>
      <c r="C5" s="54">
        <v>50</v>
      </c>
      <c r="D5" s="54" t="s">
        <v>82</v>
      </c>
      <c r="E5" s="54" t="s">
        <v>303</v>
      </c>
    </row>
    <row r="6" spans="1:5" x14ac:dyDescent="0.3">
      <c r="A6" s="54" t="s">
        <v>304</v>
      </c>
      <c r="B6" s="54" t="s">
        <v>178</v>
      </c>
      <c r="C6" s="54" t="s">
        <v>77</v>
      </c>
      <c r="D6" s="54" t="s">
        <v>179</v>
      </c>
      <c r="E6" s="54" t="s">
        <v>305</v>
      </c>
    </row>
    <row r="7" spans="1:5" x14ac:dyDescent="0.3">
      <c r="A7" s="54" t="s">
        <v>223</v>
      </c>
      <c r="B7" s="54" t="s">
        <v>224</v>
      </c>
      <c r="C7" s="54" t="s">
        <v>77</v>
      </c>
      <c r="D7" s="54" t="s">
        <v>225</v>
      </c>
      <c r="E7" s="54" t="s">
        <v>226</v>
      </c>
    </row>
    <row r="8" spans="1:5" x14ac:dyDescent="0.3">
      <c r="A8" s="54" t="s">
        <v>227</v>
      </c>
      <c r="B8" s="54" t="s">
        <v>224</v>
      </c>
      <c r="C8" s="54" t="s">
        <v>77</v>
      </c>
      <c r="D8" s="54" t="s">
        <v>225</v>
      </c>
      <c r="E8" s="54" t="s">
        <v>306</v>
      </c>
    </row>
    <row r="9" spans="1:5" x14ac:dyDescent="0.3">
      <c r="A9" s="54" t="s">
        <v>138</v>
      </c>
      <c r="B9" s="54" t="s">
        <v>128</v>
      </c>
      <c r="C9" s="54" t="s">
        <v>77</v>
      </c>
      <c r="D9" s="54" t="s">
        <v>169</v>
      </c>
      <c r="E9" s="54" t="s">
        <v>307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7DEA-B45B-4F83-BE78-C3377E1AE33D}">
  <dimension ref="A1:E12"/>
  <sheetViews>
    <sheetView workbookViewId="0">
      <selection activeCell="B15" sqref="B15"/>
    </sheetView>
  </sheetViews>
  <sheetFormatPr baseColWidth="10" defaultRowHeight="14.4" x14ac:dyDescent="0.3"/>
  <cols>
    <col min="1" max="1" width="17.33203125" style="39" customWidth="1"/>
    <col min="2" max="2" width="17.88671875" style="39" customWidth="1"/>
    <col min="3" max="3" width="11.5546875" style="39"/>
    <col min="4" max="4" width="40.6640625" style="39" customWidth="1"/>
    <col min="5" max="5" width="79.6640625" style="39" customWidth="1"/>
    <col min="6" max="16384" width="11.5546875" style="39"/>
  </cols>
  <sheetData>
    <row r="1" spans="1:5" x14ac:dyDescent="0.3">
      <c r="A1" s="63" t="s">
        <v>71</v>
      </c>
      <c r="B1" s="63" t="s">
        <v>72</v>
      </c>
      <c r="C1" s="63" t="s">
        <v>73</v>
      </c>
      <c r="D1" s="63" t="s">
        <v>212</v>
      </c>
      <c r="E1" s="63" t="s">
        <v>3</v>
      </c>
    </row>
    <row r="2" spans="1:5" x14ac:dyDescent="0.3">
      <c r="A2" s="54" t="s">
        <v>308</v>
      </c>
      <c r="B2" s="54" t="s">
        <v>189</v>
      </c>
      <c r="C2" s="54" t="s">
        <v>77</v>
      </c>
      <c r="D2" s="54" t="s">
        <v>214</v>
      </c>
      <c r="E2" s="54" t="s">
        <v>309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231</v>
      </c>
      <c r="E3" s="54" t="s">
        <v>310</v>
      </c>
    </row>
    <row r="4" spans="1:5" x14ac:dyDescent="0.3">
      <c r="A4" s="54" t="s">
        <v>263</v>
      </c>
      <c r="B4" s="54" t="s">
        <v>76</v>
      </c>
      <c r="C4" s="54" t="s">
        <v>77</v>
      </c>
      <c r="D4" s="54" t="s">
        <v>284</v>
      </c>
      <c r="E4" s="54" t="s">
        <v>311</v>
      </c>
    </row>
    <row r="5" spans="1:5" x14ac:dyDescent="0.3">
      <c r="A5" s="54" t="s">
        <v>312</v>
      </c>
      <c r="B5" s="54" t="s">
        <v>224</v>
      </c>
      <c r="C5" s="54" t="s">
        <v>77</v>
      </c>
      <c r="D5" s="54" t="s">
        <v>82</v>
      </c>
      <c r="E5" s="54" t="s">
        <v>313</v>
      </c>
    </row>
    <row r="6" spans="1:5" x14ac:dyDescent="0.3">
      <c r="A6" s="54" t="s">
        <v>314</v>
      </c>
      <c r="B6" s="54" t="s">
        <v>315</v>
      </c>
      <c r="C6" s="54" t="s">
        <v>77</v>
      </c>
      <c r="D6" s="54" t="s">
        <v>82</v>
      </c>
      <c r="E6" s="54" t="s">
        <v>316</v>
      </c>
    </row>
    <row r="7" spans="1:5" x14ac:dyDescent="0.3">
      <c r="A7" s="54" t="s">
        <v>296</v>
      </c>
      <c r="B7" s="54" t="s">
        <v>76</v>
      </c>
      <c r="C7" s="54" t="s">
        <v>77</v>
      </c>
      <c r="D7" s="54" t="s">
        <v>231</v>
      </c>
      <c r="E7" s="54" t="s">
        <v>317</v>
      </c>
    </row>
    <row r="8" spans="1:5" x14ac:dyDescent="0.3">
      <c r="A8" s="54" t="s">
        <v>318</v>
      </c>
      <c r="B8" s="54" t="s">
        <v>81</v>
      </c>
      <c r="C8" s="54">
        <v>50</v>
      </c>
      <c r="D8" s="54" t="s">
        <v>169</v>
      </c>
      <c r="E8" s="54" t="s">
        <v>319</v>
      </c>
    </row>
    <row r="9" spans="1:5" x14ac:dyDescent="0.3">
      <c r="A9" s="54" t="s">
        <v>320</v>
      </c>
      <c r="B9" s="54" t="s">
        <v>76</v>
      </c>
      <c r="C9" s="54" t="s">
        <v>77</v>
      </c>
      <c r="D9" s="54" t="s">
        <v>231</v>
      </c>
      <c r="E9" s="54" t="s">
        <v>321</v>
      </c>
    </row>
    <row r="10" spans="1:5" x14ac:dyDescent="0.3">
      <c r="A10" s="54" t="s">
        <v>138</v>
      </c>
      <c r="B10" s="54" t="s">
        <v>128</v>
      </c>
      <c r="C10" s="54" t="s">
        <v>77</v>
      </c>
      <c r="D10" s="54" t="s">
        <v>169</v>
      </c>
      <c r="E10" s="54" t="s">
        <v>322</v>
      </c>
    </row>
    <row r="11" spans="1:5" x14ac:dyDescent="0.3">
      <c r="A11" s="54" t="s">
        <v>223</v>
      </c>
      <c r="B11" s="54" t="s">
        <v>224</v>
      </c>
      <c r="C11" s="54" t="s">
        <v>77</v>
      </c>
      <c r="D11" s="54" t="s">
        <v>225</v>
      </c>
      <c r="E11" s="54" t="s">
        <v>226</v>
      </c>
    </row>
    <row r="12" spans="1:5" x14ac:dyDescent="0.3">
      <c r="A12" s="54" t="s">
        <v>227</v>
      </c>
      <c r="B12" s="54" t="s">
        <v>224</v>
      </c>
      <c r="C12" s="54" t="s">
        <v>77</v>
      </c>
      <c r="D12" s="54" t="s">
        <v>225</v>
      </c>
      <c r="E12" s="54" t="s">
        <v>306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2A71-BBC3-46CC-9434-02EDFB145E6E}">
  <dimension ref="A1:E11"/>
  <sheetViews>
    <sheetView workbookViewId="0">
      <selection activeCell="E18" sqref="E18"/>
    </sheetView>
  </sheetViews>
  <sheetFormatPr baseColWidth="10" defaultRowHeight="14.4" x14ac:dyDescent="0.3"/>
  <cols>
    <col min="1" max="1" width="22.5546875" style="39" customWidth="1"/>
    <col min="2" max="2" width="18.21875" style="39" customWidth="1"/>
    <col min="3" max="3" width="11.5546875" style="39"/>
    <col min="4" max="4" width="35.21875" style="39" customWidth="1"/>
    <col min="5" max="5" width="58.66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54" t="s">
        <v>323</v>
      </c>
      <c r="B2" s="54" t="s">
        <v>189</v>
      </c>
      <c r="C2" s="54" t="s">
        <v>77</v>
      </c>
      <c r="D2" s="54" t="s">
        <v>214</v>
      </c>
      <c r="E2" s="54" t="s">
        <v>324</v>
      </c>
    </row>
    <row r="3" spans="1:5" x14ac:dyDescent="0.3">
      <c r="A3" s="54" t="s">
        <v>308</v>
      </c>
      <c r="B3" s="54" t="s">
        <v>76</v>
      </c>
      <c r="C3" s="54" t="s">
        <v>77</v>
      </c>
      <c r="D3" s="54" t="s">
        <v>231</v>
      </c>
      <c r="E3" s="54" t="s">
        <v>325</v>
      </c>
    </row>
    <row r="4" spans="1:5" x14ac:dyDescent="0.3">
      <c r="A4" s="54" t="s">
        <v>326</v>
      </c>
      <c r="B4" s="54" t="s">
        <v>224</v>
      </c>
      <c r="C4" s="54" t="s">
        <v>77</v>
      </c>
      <c r="D4" s="54" t="s">
        <v>82</v>
      </c>
      <c r="E4" s="54" t="s">
        <v>327</v>
      </c>
    </row>
    <row r="5" spans="1:5" x14ac:dyDescent="0.3">
      <c r="A5" s="54" t="s">
        <v>328</v>
      </c>
      <c r="B5" s="54" t="s">
        <v>354</v>
      </c>
      <c r="C5" s="54">
        <v>12.2</v>
      </c>
      <c r="D5" s="54" t="s">
        <v>82</v>
      </c>
      <c r="E5" s="54" t="s">
        <v>329</v>
      </c>
    </row>
    <row r="6" spans="1:5" x14ac:dyDescent="0.3">
      <c r="A6" s="54" t="s">
        <v>318</v>
      </c>
      <c r="B6" s="54" t="s">
        <v>81</v>
      </c>
      <c r="C6" s="54">
        <v>50</v>
      </c>
      <c r="D6" s="54" t="s">
        <v>82</v>
      </c>
      <c r="E6" s="54" t="s">
        <v>330</v>
      </c>
    </row>
    <row r="7" spans="1:5" x14ac:dyDescent="0.3">
      <c r="A7" s="54" t="s">
        <v>331</v>
      </c>
      <c r="B7" s="54" t="s">
        <v>76</v>
      </c>
      <c r="C7" s="54" t="s">
        <v>77</v>
      </c>
      <c r="D7" s="54" t="s">
        <v>231</v>
      </c>
      <c r="E7" s="54" t="s">
        <v>332</v>
      </c>
    </row>
    <row r="8" spans="1:5" x14ac:dyDescent="0.3">
      <c r="A8" s="54" t="s">
        <v>296</v>
      </c>
      <c r="B8" s="54" t="s">
        <v>76</v>
      </c>
      <c r="C8" s="54" t="s">
        <v>77</v>
      </c>
      <c r="D8" s="54" t="s">
        <v>231</v>
      </c>
      <c r="E8" s="54" t="s">
        <v>333</v>
      </c>
    </row>
    <row r="9" spans="1:5" x14ac:dyDescent="0.3">
      <c r="A9" s="54" t="s">
        <v>138</v>
      </c>
      <c r="B9" s="54" t="s">
        <v>128</v>
      </c>
      <c r="C9" s="54" t="s">
        <v>77</v>
      </c>
      <c r="D9" s="54" t="s">
        <v>169</v>
      </c>
      <c r="E9" s="54" t="s">
        <v>334</v>
      </c>
    </row>
    <row r="10" spans="1:5" x14ac:dyDescent="0.3">
      <c r="A10" s="54" t="s">
        <v>223</v>
      </c>
      <c r="B10" s="54" t="s">
        <v>224</v>
      </c>
      <c r="C10" s="54" t="s">
        <v>77</v>
      </c>
      <c r="D10" s="54" t="s">
        <v>225</v>
      </c>
      <c r="E10" s="54" t="s">
        <v>226</v>
      </c>
    </row>
    <row r="11" spans="1:5" x14ac:dyDescent="0.3">
      <c r="A11" s="54" t="s">
        <v>227</v>
      </c>
      <c r="B11" s="54" t="s">
        <v>224</v>
      </c>
      <c r="C11" s="54" t="s">
        <v>77</v>
      </c>
      <c r="D11" s="54" t="s">
        <v>225</v>
      </c>
      <c r="E11" s="54" t="s">
        <v>306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B55-2F4A-4247-B6D9-1199500AE455}">
  <dimension ref="A1:E12"/>
  <sheetViews>
    <sheetView workbookViewId="0">
      <selection activeCell="A25" sqref="A25"/>
    </sheetView>
  </sheetViews>
  <sheetFormatPr baseColWidth="10" defaultRowHeight="14.4" x14ac:dyDescent="0.3"/>
  <cols>
    <col min="1" max="1" width="23.5546875" style="39" customWidth="1"/>
    <col min="2" max="2" width="14.6640625" style="39" customWidth="1"/>
    <col min="3" max="3" width="14" style="39" customWidth="1"/>
    <col min="4" max="4" width="35.21875" style="39" customWidth="1"/>
    <col min="5" max="5" width="58.44140625" style="39" customWidth="1"/>
    <col min="6" max="16384" width="11.5546875" style="39"/>
  </cols>
  <sheetData>
    <row r="1" spans="1:5" x14ac:dyDescent="0.3">
      <c r="A1" s="53" t="s">
        <v>71</v>
      </c>
      <c r="B1" s="53" t="s">
        <v>72</v>
      </c>
      <c r="C1" s="53" t="s">
        <v>73</v>
      </c>
      <c r="D1" s="53" t="s">
        <v>212</v>
      </c>
      <c r="E1" s="53" t="s">
        <v>3</v>
      </c>
    </row>
    <row r="2" spans="1:5" x14ac:dyDescent="0.3">
      <c r="A2" s="64" t="s">
        <v>335</v>
      </c>
      <c r="B2" s="64" t="s">
        <v>189</v>
      </c>
      <c r="C2" s="64" t="s">
        <v>77</v>
      </c>
      <c r="D2" s="64" t="s">
        <v>214</v>
      </c>
      <c r="E2" s="64" t="s">
        <v>336</v>
      </c>
    </row>
    <row r="3" spans="1:5" x14ac:dyDescent="0.3">
      <c r="A3" s="54" t="s">
        <v>1</v>
      </c>
      <c r="B3" s="54" t="s">
        <v>76</v>
      </c>
      <c r="C3" s="54" t="s">
        <v>77</v>
      </c>
      <c r="D3" s="54" t="s">
        <v>231</v>
      </c>
      <c r="E3" s="54" t="s">
        <v>337</v>
      </c>
    </row>
    <row r="4" spans="1:5" x14ac:dyDescent="0.3">
      <c r="A4" s="54" t="s">
        <v>338</v>
      </c>
      <c r="B4" s="54" t="s">
        <v>81</v>
      </c>
      <c r="C4" s="54">
        <v>100</v>
      </c>
      <c r="D4" s="54" t="s">
        <v>82</v>
      </c>
      <c r="E4" s="54" t="s">
        <v>339</v>
      </c>
    </row>
    <row r="5" spans="1:5" x14ac:dyDescent="0.3">
      <c r="A5" s="54" t="s">
        <v>340</v>
      </c>
      <c r="B5" s="54" t="s">
        <v>81</v>
      </c>
      <c r="C5" s="54">
        <v>50</v>
      </c>
      <c r="D5" s="54" t="s">
        <v>299</v>
      </c>
      <c r="E5" s="54" t="s">
        <v>341</v>
      </c>
    </row>
    <row r="6" spans="1:5" x14ac:dyDescent="0.3">
      <c r="A6" s="54" t="s">
        <v>342</v>
      </c>
      <c r="B6" s="54" t="s">
        <v>81</v>
      </c>
      <c r="C6" s="54">
        <v>50</v>
      </c>
      <c r="D6" s="54" t="s">
        <v>82</v>
      </c>
      <c r="E6" s="54" t="s">
        <v>343</v>
      </c>
    </row>
    <row r="7" spans="1:5" x14ac:dyDescent="0.3">
      <c r="A7" s="54" t="s">
        <v>344</v>
      </c>
      <c r="B7" s="54" t="s">
        <v>87</v>
      </c>
      <c r="C7" s="54" t="s">
        <v>77</v>
      </c>
      <c r="D7" s="54" t="s">
        <v>82</v>
      </c>
      <c r="E7" s="54" t="s">
        <v>345</v>
      </c>
    </row>
    <row r="8" spans="1:5" x14ac:dyDescent="0.3">
      <c r="A8" s="54" t="s">
        <v>346</v>
      </c>
      <c r="B8" s="54" t="s">
        <v>87</v>
      </c>
      <c r="C8" s="54" t="s">
        <v>77</v>
      </c>
      <c r="D8" s="54" t="s">
        <v>169</v>
      </c>
      <c r="E8" s="54" t="s">
        <v>347</v>
      </c>
    </row>
    <row r="9" spans="1:5" x14ac:dyDescent="0.3">
      <c r="A9" s="54" t="s">
        <v>348</v>
      </c>
      <c r="B9" s="54" t="s">
        <v>81</v>
      </c>
      <c r="C9" s="54">
        <v>20</v>
      </c>
      <c r="D9" s="54" t="s">
        <v>169</v>
      </c>
      <c r="E9" s="54" t="s">
        <v>349</v>
      </c>
    </row>
    <row r="10" spans="1:5" x14ac:dyDescent="0.3">
      <c r="A10" s="54" t="s">
        <v>138</v>
      </c>
      <c r="B10" s="54" t="s">
        <v>128</v>
      </c>
      <c r="C10" s="54" t="s">
        <v>77</v>
      </c>
      <c r="D10" s="54" t="s">
        <v>169</v>
      </c>
      <c r="E10" s="54" t="s">
        <v>350</v>
      </c>
    </row>
    <row r="11" spans="1:5" x14ac:dyDescent="0.3">
      <c r="A11" s="54" t="s">
        <v>223</v>
      </c>
      <c r="B11" s="54" t="s">
        <v>224</v>
      </c>
      <c r="C11" s="54" t="s">
        <v>77</v>
      </c>
      <c r="D11" s="54" t="s">
        <v>225</v>
      </c>
      <c r="E11" s="54" t="s">
        <v>226</v>
      </c>
    </row>
    <row r="12" spans="1:5" x14ac:dyDescent="0.3">
      <c r="A12" s="54" t="s">
        <v>227</v>
      </c>
      <c r="B12" s="54" t="s">
        <v>224</v>
      </c>
      <c r="C12" s="54" t="s">
        <v>77</v>
      </c>
      <c r="D12" s="54" t="s">
        <v>225</v>
      </c>
      <c r="E12" s="5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DICCIONARIO DE DATOS </vt:lpstr>
      <vt:lpstr>PATIENTS</vt:lpstr>
      <vt:lpstr>DOCTORS</vt:lpstr>
      <vt:lpstr>APPOINTMENTS</vt:lpstr>
      <vt:lpstr>MEDICAL_RECORDS</vt:lpstr>
      <vt:lpstr>MEDICATIONS</vt:lpstr>
      <vt:lpstr>USERS</vt:lpstr>
      <vt:lpstr>ROLES</vt:lpstr>
      <vt:lpstr>USER_ROLES</vt:lpstr>
      <vt:lpstr>DEPARTMENTS</vt:lpstr>
      <vt:lpstr>SPECIALTIES</vt:lpstr>
      <vt:lpstr>ROOMS</vt:lpstr>
      <vt:lpstr>ROOM_TYPES</vt:lpstr>
      <vt:lpstr>ROOM_ASSIGNMENTS</vt:lpstr>
      <vt:lpstr>PRESCRIPTIONS</vt:lpstr>
      <vt:lpstr>MEDICAL_RECORD_DETAILS</vt:lpstr>
      <vt:lpstr>PERMISSIONS</vt:lpstr>
      <vt:lpstr>STATUS_CODES</vt:lpstr>
      <vt:lpstr>BILLING</vt:lpstr>
      <vt:lpstr>PAYMENTS</vt:lpstr>
      <vt:lpstr>INSURANCES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2025-11-05T00:19:18Z</dcterms:created>
  <dcterms:modified xsi:type="dcterms:W3CDTF">2025-11-07T18:26:41Z</dcterms:modified>
</cp:coreProperties>
</file>